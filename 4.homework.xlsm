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3040" windowHeight="9384"/>
  </bookViews>
  <sheets>
    <sheet name="неявная схема 2D" sheetId="1" r:id="rId1"/>
    <sheet name="неявная схема 1D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AH16" i="2" l="1"/>
  <c r="AF16" i="2"/>
  <c r="V16" i="2"/>
  <c r="U16" i="2"/>
  <c r="H16" i="2"/>
  <c r="G16" i="2"/>
  <c r="AJ13" i="2"/>
  <c r="F13" i="2"/>
  <c r="B4" i="2"/>
  <c r="B5" i="2" s="1"/>
  <c r="AB16" i="2" s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U93" i="1"/>
  <c r="CT93" i="1"/>
  <c r="CS93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B93" i="1"/>
  <c r="CA93" i="1"/>
  <c r="BZ93" i="1"/>
  <c r="BY93" i="1"/>
  <c r="BX93" i="1"/>
  <c r="BW93" i="1"/>
  <c r="BV93" i="1"/>
  <c r="BU93" i="1"/>
  <c r="BT93" i="1"/>
  <c r="BS93" i="1"/>
  <c r="BR93" i="1"/>
  <c r="W16" i="2" l="1"/>
  <c r="M16" i="2"/>
  <c r="X16" i="2"/>
  <c r="J16" i="2"/>
  <c r="N16" i="2"/>
  <c r="Z16" i="2"/>
  <c r="O16" i="2"/>
  <c r="AC16" i="2"/>
  <c r="P16" i="2"/>
  <c r="AD16" i="2"/>
  <c r="R16" i="2"/>
  <c r="AE16" i="2"/>
  <c r="I16" i="2"/>
  <c r="Q16" i="2"/>
  <c r="Y16" i="2"/>
  <c r="AG16" i="2"/>
  <c r="K16" i="2"/>
  <c r="S16" i="2"/>
  <c r="AA16" i="2"/>
  <c r="AI16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16" i="2"/>
  <c r="T16" i="2"/>
  <c r="C14" i="1" l="1"/>
  <c r="C13" i="1"/>
  <c r="C11" i="1"/>
  <c r="C10" i="1"/>
  <c r="C9" i="1"/>
  <c r="C5" i="1"/>
  <c r="E3" i="1" s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C4" i="1"/>
  <c r="G32" i="1" s="1"/>
  <c r="H32" i="1" s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F28" i="1" l="1"/>
  <c r="F24" i="1"/>
  <c r="F20" i="1"/>
  <c r="F16" i="1"/>
  <c r="F12" i="1"/>
  <c r="F8" i="1"/>
  <c r="F4" i="1"/>
  <c r="F31" i="1"/>
  <c r="AL62" i="1" s="1"/>
  <c r="F27" i="1"/>
  <c r="F23" i="1"/>
  <c r="F19" i="1"/>
  <c r="F15" i="1"/>
  <c r="F11" i="1"/>
  <c r="F7" i="1"/>
  <c r="F3" i="1"/>
  <c r="F30" i="1"/>
  <c r="AL61" i="1" s="1"/>
  <c r="F26" i="1"/>
  <c r="AL57" i="1" s="1"/>
  <c r="F22" i="1"/>
  <c r="F18" i="1"/>
  <c r="F14" i="1"/>
  <c r="F10" i="1"/>
  <c r="F6" i="1"/>
  <c r="F2" i="1"/>
  <c r="F29" i="1"/>
  <c r="AL60" i="1" s="1"/>
  <c r="F25" i="1"/>
  <c r="F21" i="1"/>
  <c r="F17" i="1"/>
  <c r="F13" i="1"/>
  <c r="F9" i="1"/>
  <c r="F5" i="1"/>
  <c r="F33" i="1"/>
  <c r="AI31" i="1"/>
  <c r="BO62" i="1" s="1"/>
  <c r="AI27" i="1"/>
  <c r="AI23" i="1"/>
  <c r="AI19" i="1"/>
  <c r="AI11" i="1"/>
  <c r="AI7" i="1"/>
  <c r="AI3" i="1"/>
  <c r="AI15" i="1"/>
  <c r="AI20" i="1"/>
  <c r="BO51" i="1" s="1"/>
  <c r="AI12" i="1"/>
  <c r="AI4" i="1"/>
  <c r="AI30" i="1"/>
  <c r="AI26" i="1"/>
  <c r="AI22" i="1"/>
  <c r="AI18" i="1"/>
  <c r="AI14" i="1"/>
  <c r="AI10" i="1"/>
  <c r="BO41" i="1" s="1"/>
  <c r="AI6" i="1"/>
  <c r="AI2" i="1"/>
  <c r="AI29" i="1"/>
  <c r="AI25" i="1"/>
  <c r="AI21" i="1"/>
  <c r="AI17" i="1"/>
  <c r="AI13" i="1"/>
  <c r="BO44" i="1" s="1"/>
  <c r="AI9" i="1"/>
  <c r="BO40" i="1" s="1"/>
  <c r="AI5" i="1"/>
  <c r="AI28" i="1"/>
  <c r="AI24" i="1"/>
  <c r="AI16" i="1"/>
  <c r="AI8" i="1"/>
  <c r="AI33" i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BO91" i="1"/>
  <c r="BO87" i="1"/>
  <c r="BO83" i="1"/>
  <c r="BO67" i="1"/>
  <c r="BG62" i="1"/>
  <c r="AY62" i="1"/>
  <c r="AQ62" i="1"/>
  <c r="BM61" i="1"/>
  <c r="BE61" i="1"/>
  <c r="AW61" i="1"/>
  <c r="AO61" i="1"/>
  <c r="BK60" i="1"/>
  <c r="BC60" i="1"/>
  <c r="AU60" i="1"/>
  <c r="AM60" i="1"/>
  <c r="BI59" i="1"/>
  <c r="BA59" i="1"/>
  <c r="AS59" i="1"/>
  <c r="BO58" i="1"/>
  <c r="BG58" i="1"/>
  <c r="AY58" i="1"/>
  <c r="AQ58" i="1"/>
  <c r="BM57" i="1"/>
  <c r="BE57" i="1"/>
  <c r="AW57" i="1"/>
  <c r="AO57" i="1"/>
  <c r="BK56" i="1"/>
  <c r="BC56" i="1"/>
  <c r="AU56" i="1"/>
  <c r="AM56" i="1"/>
  <c r="BI55" i="1"/>
  <c r="BA55" i="1"/>
  <c r="AS55" i="1"/>
  <c r="BO54" i="1"/>
  <c r="BG54" i="1"/>
  <c r="AY54" i="1"/>
  <c r="AQ54" i="1"/>
  <c r="BM53" i="1"/>
  <c r="BE53" i="1"/>
  <c r="AW53" i="1"/>
  <c r="AO53" i="1"/>
  <c r="BK52" i="1"/>
  <c r="BC52" i="1"/>
  <c r="AU52" i="1"/>
  <c r="AM52" i="1"/>
  <c r="BI51" i="1"/>
  <c r="BA51" i="1"/>
  <c r="AS51" i="1"/>
  <c r="BO50" i="1"/>
  <c r="BG50" i="1"/>
  <c r="BN62" i="1"/>
  <c r="BF62" i="1"/>
  <c r="AX62" i="1"/>
  <c r="AP62" i="1"/>
  <c r="BL61" i="1"/>
  <c r="BD61" i="1"/>
  <c r="AV61" i="1"/>
  <c r="AN61" i="1"/>
  <c r="BJ60" i="1"/>
  <c r="BB60" i="1"/>
  <c r="AT60" i="1"/>
  <c r="BH59" i="1"/>
  <c r="AZ59" i="1"/>
  <c r="AR59" i="1"/>
  <c r="BN58" i="1"/>
  <c r="BF58" i="1"/>
  <c r="AX58" i="1"/>
  <c r="AP58" i="1"/>
  <c r="BL57" i="1"/>
  <c r="BD57" i="1"/>
  <c r="AV57" i="1"/>
  <c r="AN57" i="1"/>
  <c r="BJ56" i="1"/>
  <c r="BB56" i="1"/>
  <c r="AT56" i="1"/>
  <c r="AL56" i="1"/>
  <c r="BH55" i="1"/>
  <c r="AZ55" i="1"/>
  <c r="AR55" i="1"/>
  <c r="BN54" i="1"/>
  <c r="BF54" i="1"/>
  <c r="AX54" i="1"/>
  <c r="AP54" i="1"/>
  <c r="BL53" i="1"/>
  <c r="BD53" i="1"/>
  <c r="AV53" i="1"/>
  <c r="AN53" i="1"/>
  <c r="BJ52" i="1"/>
  <c r="BB52" i="1"/>
  <c r="AT52" i="1"/>
  <c r="AL52" i="1"/>
  <c r="BH51" i="1"/>
  <c r="AZ51" i="1"/>
  <c r="AR51" i="1"/>
  <c r="BN50" i="1"/>
  <c r="BF50" i="1"/>
  <c r="BO82" i="1"/>
  <c r="BO78" i="1"/>
  <c r="BO74" i="1"/>
  <c r="BO70" i="1"/>
  <c r="BO66" i="1"/>
  <c r="BM62" i="1"/>
  <c r="BE62" i="1"/>
  <c r="AW62" i="1"/>
  <c r="AO62" i="1"/>
  <c r="BK61" i="1"/>
  <c r="BC61" i="1"/>
  <c r="AU61" i="1"/>
  <c r="AM61" i="1"/>
  <c r="BI60" i="1"/>
  <c r="BA60" i="1"/>
  <c r="AS60" i="1"/>
  <c r="BO59" i="1"/>
  <c r="BG59" i="1"/>
  <c r="AY59" i="1"/>
  <c r="AQ59" i="1"/>
  <c r="BM58" i="1"/>
  <c r="BE58" i="1"/>
  <c r="AW58" i="1"/>
  <c r="AO58" i="1"/>
  <c r="BK57" i="1"/>
  <c r="BC57" i="1"/>
  <c r="AU57" i="1"/>
  <c r="AM57" i="1"/>
  <c r="BI56" i="1"/>
  <c r="BA56" i="1"/>
  <c r="AS56" i="1"/>
  <c r="BO55" i="1"/>
  <c r="BG55" i="1"/>
  <c r="AY55" i="1"/>
  <c r="BL62" i="1"/>
  <c r="BD62" i="1"/>
  <c r="AV62" i="1"/>
  <c r="AN62" i="1"/>
  <c r="BJ61" i="1"/>
  <c r="BB61" i="1"/>
  <c r="AT61" i="1"/>
  <c r="BH60" i="1"/>
  <c r="AZ60" i="1"/>
  <c r="AR60" i="1"/>
  <c r="BN59" i="1"/>
  <c r="BF59" i="1"/>
  <c r="AX59" i="1"/>
  <c r="AP59" i="1"/>
  <c r="BL58" i="1"/>
  <c r="BD58" i="1"/>
  <c r="AV58" i="1"/>
  <c r="AN58" i="1"/>
  <c r="BJ57" i="1"/>
  <c r="BB57" i="1"/>
  <c r="AT57" i="1"/>
  <c r="BH56" i="1"/>
  <c r="AZ56" i="1"/>
  <c r="AR56" i="1"/>
  <c r="BN55" i="1"/>
  <c r="BF55" i="1"/>
  <c r="AX55" i="1"/>
  <c r="AP55" i="1"/>
  <c r="BL54" i="1"/>
  <c r="BD54" i="1"/>
  <c r="AV54" i="1"/>
  <c r="AN54" i="1"/>
  <c r="BJ53" i="1"/>
  <c r="BB53" i="1"/>
  <c r="AT53" i="1"/>
  <c r="AL53" i="1"/>
  <c r="BH52" i="1"/>
  <c r="AZ52" i="1"/>
  <c r="AR52" i="1"/>
  <c r="BN51" i="1"/>
  <c r="BF51" i="1"/>
  <c r="AX51" i="1"/>
  <c r="AP51" i="1"/>
  <c r="BL50" i="1"/>
  <c r="BO92" i="1"/>
  <c r="BO84" i="1"/>
  <c r="BO76" i="1"/>
  <c r="BO68" i="1"/>
  <c r="BI62" i="1"/>
  <c r="AS62" i="1"/>
  <c r="BG61" i="1"/>
  <c r="AQ61" i="1"/>
  <c r="BE60" i="1"/>
  <c r="AO60" i="1"/>
  <c r="BC59" i="1"/>
  <c r="AM59" i="1"/>
  <c r="BA58" i="1"/>
  <c r="BO57" i="1"/>
  <c r="AY57" i="1"/>
  <c r="BM56" i="1"/>
  <c r="AW56" i="1"/>
  <c r="BK55" i="1"/>
  <c r="AU55" i="1"/>
  <c r="BK54" i="1"/>
  <c r="AZ54" i="1"/>
  <c r="AL54" i="1"/>
  <c r="BC53" i="1"/>
  <c r="AQ53" i="1"/>
  <c r="BG52" i="1"/>
  <c r="AV52" i="1"/>
  <c r="BL51" i="1"/>
  <c r="AY51" i="1"/>
  <c r="AM51" i="1"/>
  <c r="BD50" i="1"/>
  <c r="AV50" i="1"/>
  <c r="AN50" i="1"/>
  <c r="BJ49" i="1"/>
  <c r="BB49" i="1"/>
  <c r="AT49" i="1"/>
  <c r="AL49" i="1"/>
  <c r="BH48" i="1"/>
  <c r="AZ48" i="1"/>
  <c r="AR48" i="1"/>
  <c r="BN47" i="1"/>
  <c r="BF47" i="1"/>
  <c r="AX47" i="1"/>
  <c r="AP47" i="1"/>
  <c r="BL46" i="1"/>
  <c r="BD46" i="1"/>
  <c r="AV46" i="1"/>
  <c r="AN46" i="1"/>
  <c r="BJ45" i="1"/>
  <c r="BB45" i="1"/>
  <c r="AT45" i="1"/>
  <c r="AL45" i="1"/>
  <c r="BH44" i="1"/>
  <c r="AZ44" i="1"/>
  <c r="AR44" i="1"/>
  <c r="BN43" i="1"/>
  <c r="BF43" i="1"/>
  <c r="AX43" i="1"/>
  <c r="AP43" i="1"/>
  <c r="BL42" i="1"/>
  <c r="BD42" i="1"/>
  <c r="AV42" i="1"/>
  <c r="AN42" i="1"/>
  <c r="BJ41" i="1"/>
  <c r="BB41" i="1"/>
  <c r="AT41" i="1"/>
  <c r="AL41" i="1"/>
  <c r="BH40" i="1"/>
  <c r="AZ40" i="1"/>
  <c r="AR40" i="1"/>
  <c r="BN39" i="1"/>
  <c r="BF39" i="1"/>
  <c r="BH62" i="1"/>
  <c r="AR62" i="1"/>
  <c r="BF61" i="1"/>
  <c r="AP61" i="1"/>
  <c r="BD60" i="1"/>
  <c r="AN60" i="1"/>
  <c r="BB59" i="1"/>
  <c r="AL59" i="1"/>
  <c r="AZ58" i="1"/>
  <c r="BN57" i="1"/>
  <c r="AX57" i="1"/>
  <c r="BL56" i="1"/>
  <c r="AV56" i="1"/>
  <c r="BJ55" i="1"/>
  <c r="AT55" i="1"/>
  <c r="BJ54" i="1"/>
  <c r="AW54" i="1"/>
  <c r="BO53" i="1"/>
  <c r="BA53" i="1"/>
  <c r="AP53" i="1"/>
  <c r="BF52" i="1"/>
  <c r="AS52" i="1"/>
  <c r="BK51" i="1"/>
  <c r="AW51" i="1"/>
  <c r="AL51" i="1"/>
  <c r="BC50" i="1"/>
  <c r="AU50" i="1"/>
  <c r="AM50" i="1"/>
  <c r="BI49" i="1"/>
  <c r="BA49" i="1"/>
  <c r="AS49" i="1"/>
  <c r="BO48" i="1"/>
  <c r="BG48" i="1"/>
  <c r="AY48" i="1"/>
  <c r="AQ48" i="1"/>
  <c r="BM47" i="1"/>
  <c r="BE47" i="1"/>
  <c r="AW47" i="1"/>
  <c r="AO47" i="1"/>
  <c r="BK46" i="1"/>
  <c r="BC46" i="1"/>
  <c r="AU46" i="1"/>
  <c r="AM46" i="1"/>
  <c r="BI45" i="1"/>
  <c r="BA45" i="1"/>
  <c r="AS45" i="1"/>
  <c r="BG44" i="1"/>
  <c r="BB62" i="1"/>
  <c r="AZ61" i="1"/>
  <c r="BN60" i="1"/>
  <c r="AX60" i="1"/>
  <c r="BL59" i="1"/>
  <c r="AV59" i="1"/>
  <c r="BJ58" i="1"/>
  <c r="AT58" i="1"/>
  <c r="BH57" i="1"/>
  <c r="AR57" i="1"/>
  <c r="BF56" i="1"/>
  <c r="AP56" i="1"/>
  <c r="BD55" i="1"/>
  <c r="AO55" i="1"/>
  <c r="BH54" i="1"/>
  <c r="AT54" i="1"/>
  <c r="BK53" i="1"/>
  <c r="AY53" i="1"/>
  <c r="BO52" i="1"/>
  <c r="BD52" i="1"/>
  <c r="AP52" i="1"/>
  <c r="BG51" i="1"/>
  <c r="AU51" i="1"/>
  <c r="BK50" i="1"/>
  <c r="BA50" i="1"/>
  <c r="AS50" i="1"/>
  <c r="BO49" i="1"/>
  <c r="BG49" i="1"/>
  <c r="AY49" i="1"/>
  <c r="AQ49" i="1"/>
  <c r="BM48" i="1"/>
  <c r="BE48" i="1"/>
  <c r="AW48" i="1"/>
  <c r="AO48" i="1"/>
  <c r="BK47" i="1"/>
  <c r="BC47" i="1"/>
  <c r="AU47" i="1"/>
  <c r="AM47" i="1"/>
  <c r="BI46" i="1"/>
  <c r="BA46" i="1"/>
  <c r="AS46" i="1"/>
  <c r="BO45" i="1"/>
  <c r="BG45" i="1"/>
  <c r="AY45" i="1"/>
  <c r="AQ45" i="1"/>
  <c r="BM44" i="1"/>
  <c r="BE44" i="1"/>
  <c r="AW44" i="1"/>
  <c r="AO44" i="1"/>
  <c r="BK43" i="1"/>
  <c r="BC43" i="1"/>
  <c r="AU43" i="1"/>
  <c r="AM43" i="1"/>
  <c r="BI42" i="1"/>
  <c r="BA42" i="1"/>
  <c r="AS42" i="1"/>
  <c r="BG41" i="1"/>
  <c r="AY41" i="1"/>
  <c r="AQ41" i="1"/>
  <c r="BM40" i="1"/>
  <c r="BE40" i="1"/>
  <c r="AW40" i="1"/>
  <c r="AO40" i="1"/>
  <c r="BK39" i="1"/>
  <c r="BC39" i="1"/>
  <c r="BO88" i="1"/>
  <c r="BO80" i="1"/>
  <c r="BO72" i="1"/>
  <c r="BO64" i="1"/>
  <c r="BA62" i="1"/>
  <c r="BO61" i="1"/>
  <c r="AY61" i="1"/>
  <c r="BM60" i="1"/>
  <c r="AW60" i="1"/>
  <c r="BK59" i="1"/>
  <c r="AU59" i="1"/>
  <c r="BI58" i="1"/>
  <c r="AS58" i="1"/>
  <c r="BG57" i="1"/>
  <c r="AQ57" i="1"/>
  <c r="BE56" i="1"/>
  <c r="AO56" i="1"/>
  <c r="BC55" i="1"/>
  <c r="AN55" i="1"/>
  <c r="BE54" i="1"/>
  <c r="AS54" i="1"/>
  <c r="BJ62" i="1"/>
  <c r="BH61" i="1"/>
  <c r="BF60" i="1"/>
  <c r="BD59" i="1"/>
  <c r="BB58" i="1"/>
  <c r="AZ57" i="1"/>
  <c r="AX56" i="1"/>
  <c r="AV55" i="1"/>
  <c r="BA54" i="1"/>
  <c r="BG53" i="1"/>
  <c r="BN52" i="1"/>
  <c r="AW52" i="1"/>
  <c r="BD51" i="1"/>
  <c r="BM50" i="1"/>
  <c r="AX50" i="1"/>
  <c r="BN49" i="1"/>
  <c r="BC49" i="1"/>
  <c r="AO49" i="1"/>
  <c r="BF48" i="1"/>
  <c r="AT48" i="1"/>
  <c r="BJ47" i="1"/>
  <c r="AY47" i="1"/>
  <c r="BO46" i="1"/>
  <c r="BB46" i="1"/>
  <c r="AP46" i="1"/>
  <c r="BF45" i="1"/>
  <c r="AU45" i="1"/>
  <c r="BK44" i="1"/>
  <c r="AY44" i="1"/>
  <c r="AN44" i="1"/>
  <c r="BH43" i="1"/>
  <c r="AW43" i="1"/>
  <c r="AL43" i="1"/>
  <c r="BF42" i="1"/>
  <c r="AU42" i="1"/>
  <c r="BN41" i="1"/>
  <c r="BD41" i="1"/>
  <c r="AS41" i="1"/>
  <c r="BL40" i="1"/>
  <c r="BB40" i="1"/>
  <c r="AQ40" i="1"/>
  <c r="BJ39" i="1"/>
  <c r="AZ39" i="1"/>
  <c r="AR39" i="1"/>
  <c r="BN38" i="1"/>
  <c r="BF38" i="1"/>
  <c r="AX38" i="1"/>
  <c r="AP38" i="1"/>
  <c r="BL37" i="1"/>
  <c r="BD37" i="1"/>
  <c r="AV37" i="1"/>
  <c r="AN37" i="1"/>
  <c r="BJ36" i="1"/>
  <c r="BB36" i="1"/>
  <c r="AT36" i="1"/>
  <c r="AL36" i="1"/>
  <c r="BH35" i="1"/>
  <c r="AZ35" i="1"/>
  <c r="AR35" i="1"/>
  <c r="BN34" i="1"/>
  <c r="BF34" i="1"/>
  <c r="AX34" i="1"/>
  <c r="AP34" i="1"/>
  <c r="BL33" i="1"/>
  <c r="BD33" i="1"/>
  <c r="AV33" i="1"/>
  <c r="AN33" i="1"/>
  <c r="BO89" i="1"/>
  <c r="BO73" i="1"/>
  <c r="BC62" i="1"/>
  <c r="BA61" i="1"/>
  <c r="AY60" i="1"/>
  <c r="AW59" i="1"/>
  <c r="AU58" i="1"/>
  <c r="AS57" i="1"/>
  <c r="AQ56" i="1"/>
  <c r="AQ55" i="1"/>
  <c r="AU54" i="1"/>
  <c r="BF53" i="1"/>
  <c r="BM52" i="1"/>
  <c r="AQ52" i="1"/>
  <c r="BC51" i="1"/>
  <c r="BJ50" i="1"/>
  <c r="AW50" i="1"/>
  <c r="BM49" i="1"/>
  <c r="AZ49" i="1"/>
  <c r="AN49" i="1"/>
  <c r="BD48" i="1"/>
  <c r="AS48" i="1"/>
  <c r="BI47" i="1"/>
  <c r="AV47" i="1"/>
  <c r="BN46" i="1"/>
  <c r="AZ46" i="1"/>
  <c r="AO46" i="1"/>
  <c r="BE45" i="1"/>
  <c r="AR45" i="1"/>
  <c r="BJ44" i="1"/>
  <c r="AX44" i="1"/>
  <c r="AM44" i="1"/>
  <c r="BG43" i="1"/>
  <c r="AV43" i="1"/>
  <c r="BO42" i="1"/>
  <c r="BE42" i="1"/>
  <c r="AT42" i="1"/>
  <c r="BM41" i="1"/>
  <c r="BC41" i="1"/>
  <c r="AR41" i="1"/>
  <c r="BK40" i="1"/>
  <c r="BA40" i="1"/>
  <c r="AP40" i="1"/>
  <c r="BI39" i="1"/>
  <c r="AY39" i="1"/>
  <c r="AQ39" i="1"/>
  <c r="BM38" i="1"/>
  <c r="BE38" i="1"/>
  <c r="AW38" i="1"/>
  <c r="AO38" i="1"/>
  <c r="BK37" i="1"/>
  <c r="BC37" i="1"/>
  <c r="AU37" i="1"/>
  <c r="AM37" i="1"/>
  <c r="BI36" i="1"/>
  <c r="BA36" i="1"/>
  <c r="AS36" i="1"/>
  <c r="BO35" i="1"/>
  <c r="BG35" i="1"/>
  <c r="AY35" i="1"/>
  <c r="AQ35" i="1"/>
  <c r="BM34" i="1"/>
  <c r="BE34" i="1"/>
  <c r="AW34" i="1"/>
  <c r="AO34" i="1"/>
  <c r="BK33" i="1"/>
  <c r="BC33" i="1"/>
  <c r="AU33" i="1"/>
  <c r="AM33" i="1"/>
  <c r="AX61" i="1"/>
  <c r="AO52" i="1"/>
  <c r="AT50" i="1"/>
  <c r="BL49" i="1"/>
  <c r="AM49" i="1"/>
  <c r="BC48" i="1"/>
  <c r="BH47" i="1"/>
  <c r="AT47" i="1"/>
  <c r="AY46" i="1"/>
  <c r="AL46" i="1"/>
  <c r="AZ62" i="1"/>
  <c r="AV60" i="1"/>
  <c r="AT59" i="1"/>
  <c r="AR58" i="1"/>
  <c r="AP57" i="1"/>
  <c r="AN56" i="1"/>
  <c r="AM55" i="1"/>
  <c r="AR54" i="1"/>
  <c r="AZ53" i="1"/>
  <c r="BL52" i="1"/>
  <c r="BB51" i="1"/>
  <c r="BI50" i="1"/>
  <c r="AX49" i="1"/>
  <c r="BO85" i="1"/>
  <c r="BO69" i="1"/>
  <c r="AU62" i="1"/>
  <c r="AS61" i="1"/>
  <c r="AQ60" i="1"/>
  <c r="AO59" i="1"/>
  <c r="AM58" i="1"/>
  <c r="BO56" i="1"/>
  <c r="BM55" i="1"/>
  <c r="AL55" i="1"/>
  <c r="AO54" i="1"/>
  <c r="AX53" i="1"/>
  <c r="BI52" i="1"/>
  <c r="AN52" i="1"/>
  <c r="AV51" i="1"/>
  <c r="BH50" i="1"/>
  <c r="AR50" i="1"/>
  <c r="BK49" i="1"/>
  <c r="AW49" i="1"/>
  <c r="BN48" i="1"/>
  <c r="BB48" i="1"/>
  <c r="AN48" i="1"/>
  <c r="BG47" i="1"/>
  <c r="AS47" i="1"/>
  <c r="BJ46" i="1"/>
  <c r="AX46" i="1"/>
  <c r="BN45" i="1"/>
  <c r="BC45" i="1"/>
  <c r="AO45" i="1"/>
  <c r="BF44" i="1"/>
  <c r="AU44" i="1"/>
  <c r="BO43" i="1"/>
  <c r="BD43" i="1"/>
  <c r="AS43" i="1"/>
  <c r="BM42" i="1"/>
  <c r="BB42" i="1"/>
  <c r="AQ42" i="1"/>
  <c r="BK41" i="1"/>
  <c r="AZ41" i="1"/>
  <c r="AO41" i="1"/>
  <c r="BI40" i="1"/>
  <c r="AX40" i="1"/>
  <c r="AM40" i="1"/>
  <c r="BG39" i="1"/>
  <c r="AW39" i="1"/>
  <c r="AO39" i="1"/>
  <c r="BK38" i="1"/>
  <c r="BC38" i="1"/>
  <c r="AU38" i="1"/>
  <c r="AM38" i="1"/>
  <c r="BI37" i="1"/>
  <c r="BA37" i="1"/>
  <c r="AS37" i="1"/>
  <c r="BO36" i="1"/>
  <c r="BG36" i="1"/>
  <c r="AY36" i="1"/>
  <c r="AQ36" i="1"/>
  <c r="BM35" i="1"/>
  <c r="BE35" i="1"/>
  <c r="AW35" i="1"/>
  <c r="AO35" i="1"/>
  <c r="BK34" i="1"/>
  <c r="BC34" i="1"/>
  <c r="AU34" i="1"/>
  <c r="AM34" i="1"/>
  <c r="BI33" i="1"/>
  <c r="BA33" i="1"/>
  <c r="AS33" i="1"/>
  <c r="BO93" i="1"/>
  <c r="BK62" i="1"/>
  <c r="BG60" i="1"/>
  <c r="BC58" i="1"/>
  <c r="AY56" i="1"/>
  <c r="BB54" i="1"/>
  <c r="AM53" i="1"/>
  <c r="BE51" i="1"/>
  <c r="AY50" i="1"/>
  <c r="BD49" i="1"/>
  <c r="BI48" i="1"/>
  <c r="BO47" i="1"/>
  <c r="AN47" i="1"/>
  <c r="AT46" i="1"/>
  <c r="AZ45" i="1"/>
  <c r="BL44" i="1"/>
  <c r="AS44" i="1"/>
  <c r="BE43" i="1"/>
  <c r="AO43" i="1"/>
  <c r="AZ42" i="1"/>
  <c r="AL42" i="1"/>
  <c r="AW41" i="1"/>
  <c r="BJ40" i="1"/>
  <c r="AT40" i="1"/>
  <c r="BE39" i="1"/>
  <c r="AS39" i="1"/>
  <c r="BI38" i="1"/>
  <c r="AV38" i="1"/>
  <c r="BN37" i="1"/>
  <c r="AZ37" i="1"/>
  <c r="AO37" i="1"/>
  <c r="BE36" i="1"/>
  <c r="AR36" i="1"/>
  <c r="BJ35" i="1"/>
  <c r="AV35" i="1"/>
  <c r="BO34" i="1"/>
  <c r="BA34" i="1"/>
  <c r="AN34" i="1"/>
  <c r="BF33" i="1"/>
  <c r="AR33" i="1"/>
  <c r="BN42" i="1"/>
  <c r="AU41" i="1"/>
  <c r="AN39" i="1"/>
  <c r="BJ37" i="1"/>
  <c r="BN36" i="1"/>
  <c r="BF35" i="1"/>
  <c r="BJ34" i="1"/>
  <c r="BB33" i="1"/>
  <c r="BO77" i="1"/>
  <c r="BA57" i="1"/>
  <c r="AN51" i="1"/>
  <c r="AU48" i="1"/>
  <c r="BB44" i="1"/>
  <c r="AR42" i="1"/>
  <c r="BO39" i="1"/>
  <c r="AQ38" i="1"/>
  <c r="AX36" i="1"/>
  <c r="AP35" i="1"/>
  <c r="AY33" i="1"/>
  <c r="AN59" i="1"/>
  <c r="BE50" i="1"/>
  <c r="AZ47" i="1"/>
  <c r="BA44" i="1"/>
  <c r="AP42" i="1"/>
  <c r="BM39" i="1"/>
  <c r="AN38" i="1"/>
  <c r="BN35" i="1"/>
  <c r="AS34" i="1"/>
  <c r="BE37" i="1"/>
  <c r="BD56" i="1"/>
  <c r="AR53" i="1"/>
  <c r="BJ48" i="1"/>
  <c r="BD45" i="1"/>
  <c r="BI43" i="1"/>
  <c r="AX41" i="1"/>
  <c r="BH39" i="1"/>
  <c r="AY38" i="1"/>
  <c r="BF36" i="1"/>
  <c r="AX35" i="1"/>
  <c r="AQ34" i="1"/>
  <c r="AT62" i="1"/>
  <c r="AP60" i="1"/>
  <c r="AL58" i="1"/>
  <c r="BL55" i="1"/>
  <c r="AM54" i="1"/>
  <c r="BE52" i="1"/>
  <c r="AT51" i="1"/>
  <c r="AQ50" i="1"/>
  <c r="AV49" i="1"/>
  <c r="BA48" i="1"/>
  <c r="BL47" i="1"/>
  <c r="AL47" i="1"/>
  <c r="AR46" i="1"/>
  <c r="AX45" i="1"/>
  <c r="BI44" i="1"/>
  <c r="AQ44" i="1"/>
  <c r="BB43" i="1"/>
  <c r="AN43" i="1"/>
  <c r="AY42" i="1"/>
  <c r="BL41" i="1"/>
  <c r="AV41" i="1"/>
  <c r="BG40" i="1"/>
  <c r="AS40" i="1"/>
  <c r="BD39" i="1"/>
  <c r="AP39" i="1"/>
  <c r="BH38" i="1"/>
  <c r="AT38" i="1"/>
  <c r="BM37" i="1"/>
  <c r="AY37" i="1"/>
  <c r="AL37" i="1"/>
  <c r="BD36" i="1"/>
  <c r="AP36" i="1"/>
  <c r="BI35" i="1"/>
  <c r="AU35" i="1"/>
  <c r="BL34" i="1"/>
  <c r="AZ34" i="1"/>
  <c r="AL34" i="1"/>
  <c r="BE33" i="1"/>
  <c r="AQ33" i="1"/>
  <c r="BA43" i="1"/>
  <c r="BF40" i="1"/>
  <c r="BB39" i="1"/>
  <c r="BG38" i="1"/>
  <c r="AX37" i="1"/>
  <c r="BC36" i="1"/>
  <c r="AT35" i="1"/>
  <c r="AY34" i="1"/>
  <c r="AP33" i="1"/>
  <c r="AX52" i="1"/>
  <c r="BG46" i="1"/>
  <c r="BM43" i="1"/>
  <c r="BF41" i="1"/>
  <c r="AX39" i="1"/>
  <c r="BG37" i="1"/>
  <c r="AM36" i="1"/>
  <c r="AT34" i="1"/>
  <c r="BN56" i="1"/>
  <c r="BH49" i="1"/>
  <c r="BF46" i="1"/>
  <c r="AT43" i="1"/>
  <c r="BE41" i="1"/>
  <c r="BO38" i="1"/>
  <c r="AR37" i="1"/>
  <c r="AN35" i="1"/>
  <c r="AX33" i="1"/>
  <c r="BK58" i="1"/>
  <c r="BM51" i="1"/>
  <c r="BK48" i="1"/>
  <c r="BE46" i="1"/>
  <c r="AV44" i="1"/>
  <c r="BG42" i="1"/>
  <c r="AU39" i="1"/>
  <c r="AQ37" i="1"/>
  <c r="BL35" i="1"/>
  <c r="BD34" i="1"/>
  <c r="AW33" i="1"/>
  <c r="BL60" i="1"/>
  <c r="BJ51" i="1"/>
  <c r="AL48" i="1"/>
  <c r="AT44" i="1"/>
  <c r="BC42" i="1"/>
  <c r="BN40" i="1"/>
  <c r="AT39" i="1"/>
  <c r="AP37" i="1"/>
  <c r="AL35" i="1"/>
  <c r="BO81" i="1"/>
  <c r="AM62" i="1"/>
  <c r="BM59" i="1"/>
  <c r="BI57" i="1"/>
  <c r="BE55" i="1"/>
  <c r="BN53" i="1"/>
  <c r="BA52" i="1"/>
  <c r="AQ51" i="1"/>
  <c r="AP50" i="1"/>
  <c r="AU49" i="1"/>
  <c r="AX48" i="1"/>
  <c r="BD47" i="1"/>
  <c r="BM46" i="1"/>
  <c r="AQ46" i="1"/>
  <c r="AW45" i="1"/>
  <c r="BD44" i="1"/>
  <c r="AP44" i="1"/>
  <c r="AX42" i="1"/>
  <c r="BI41" i="1"/>
  <c r="AN40" i="1"/>
  <c r="AS38" i="1"/>
  <c r="AO36" i="1"/>
  <c r="BO33" i="1"/>
  <c r="AW55" i="1"/>
  <c r="AP49" i="1"/>
  <c r="BL45" i="1"/>
  <c r="AY43" i="1"/>
  <c r="AN41" i="1"/>
  <c r="AL39" i="1"/>
  <c r="AT37" i="1"/>
  <c r="BC35" i="1"/>
  <c r="BM33" i="1"/>
  <c r="AR61" i="1"/>
  <c r="AU53" i="1"/>
  <c r="BL48" i="1"/>
  <c r="BK45" i="1"/>
  <c r="BH42" i="1"/>
  <c r="AY40" i="1"/>
  <c r="BF37" i="1"/>
  <c r="BB35" i="1"/>
  <c r="BJ33" i="1"/>
  <c r="BO60" i="1"/>
  <c r="BI54" i="1"/>
  <c r="BB50" i="1"/>
  <c r="AM48" i="1"/>
  <c r="BH45" i="1"/>
  <c r="BJ43" i="1"/>
  <c r="AO42" i="1"/>
  <c r="AV40" i="1"/>
  <c r="AZ38" i="1"/>
  <c r="BH36" i="1"/>
  <c r="BA35" i="1"/>
  <c r="BH33" i="1"/>
  <c r="AQ47" i="1"/>
  <c r="BO37" i="1"/>
  <c r="BB34" i="1"/>
  <c r="BN61" i="1"/>
  <c r="BJ59" i="1"/>
  <c r="BF57" i="1"/>
  <c r="BB55" i="1"/>
  <c r="BI53" i="1"/>
  <c r="AY52" i="1"/>
  <c r="AO51" i="1"/>
  <c r="AO50" i="1"/>
  <c r="AR49" i="1"/>
  <c r="AV48" i="1"/>
  <c r="BB47" i="1"/>
  <c r="BH46" i="1"/>
  <c r="BM45" i="1"/>
  <c r="AV45" i="1"/>
  <c r="BC44" i="1"/>
  <c r="AL44" i="1"/>
  <c r="AZ43" i="1"/>
  <c r="BK42" i="1"/>
  <c r="AW42" i="1"/>
  <c r="BH41" i="1"/>
  <c r="AP41" i="1"/>
  <c r="BD40" i="1"/>
  <c r="AL40" i="1"/>
  <c r="BA39" i="1"/>
  <c r="AM39" i="1"/>
  <c r="BD38" i="1"/>
  <c r="AR38" i="1"/>
  <c r="BH37" i="1"/>
  <c r="AW37" i="1"/>
  <c r="BM36" i="1"/>
  <c r="AZ36" i="1"/>
  <c r="AN36" i="1"/>
  <c r="BD35" i="1"/>
  <c r="AS35" i="1"/>
  <c r="BI34" i="1"/>
  <c r="AV34" i="1"/>
  <c r="BN33" i="1"/>
  <c r="AZ33" i="1"/>
  <c r="AO33" i="1"/>
  <c r="BI61" i="1"/>
  <c r="BE59" i="1"/>
  <c r="BH53" i="1"/>
  <c r="AL50" i="1"/>
  <c r="BA47" i="1"/>
  <c r="AP45" i="1"/>
  <c r="BJ42" i="1"/>
  <c r="BC40" i="1"/>
  <c r="BB38" i="1"/>
  <c r="BL36" i="1"/>
  <c r="BH34" i="1"/>
  <c r="AL33" i="1"/>
  <c r="AP48" i="1"/>
  <c r="BL43" i="1"/>
  <c r="AM41" i="1"/>
  <c r="BA38" i="1"/>
  <c r="BK36" i="1"/>
  <c r="BG34" i="1"/>
  <c r="BL38" i="1"/>
  <c r="BH58" i="1"/>
  <c r="AZ50" i="1"/>
  <c r="AW46" i="1"/>
  <c r="AQ43" i="1"/>
  <c r="AU40" i="1"/>
  <c r="BB37" i="1"/>
  <c r="BK35" i="1"/>
  <c r="BG33" i="1"/>
  <c r="BM54" i="1"/>
  <c r="AN45" i="1"/>
  <c r="AV39" i="1"/>
  <c r="AW36" i="1"/>
  <c r="BO65" i="1"/>
  <c r="BG56" i="1"/>
  <c r="AS53" i="1"/>
  <c r="BF49" i="1"/>
  <c r="AR47" i="1"/>
  <c r="AM45" i="1"/>
  <c r="AR43" i="1"/>
  <c r="BA41" i="1"/>
  <c r="BL39" i="1"/>
  <c r="AL38" i="1"/>
  <c r="AV36" i="1"/>
  <c r="AM35" i="1"/>
  <c r="AR34" i="1"/>
  <c r="AL64" i="1"/>
  <c r="BC54" i="1"/>
  <c r="BE49" i="1"/>
  <c r="BN44" i="1"/>
  <c r="AM42" i="1"/>
  <c r="BJ38" i="1"/>
  <c r="AU36" i="1"/>
  <c r="AT33" i="1"/>
  <c r="C21" i="1"/>
  <c r="C20" i="1"/>
  <c r="C17" i="1"/>
  <c r="C16" i="1"/>
  <c r="BS39" i="1" l="1"/>
  <c r="BS46" i="1"/>
  <c r="BS45" i="1"/>
  <c r="BS38" i="1"/>
  <c r="BS33" i="1"/>
  <c r="BS60" i="1"/>
  <c r="BT39" i="1"/>
  <c r="BS43" i="1"/>
  <c r="BS35" i="1"/>
  <c r="BS57" i="1"/>
  <c r="BS51" i="1"/>
  <c r="BS48" i="1"/>
  <c r="BS34" i="1"/>
  <c r="C18" i="1"/>
  <c r="BS50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L89" i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I90" i="1"/>
  <c r="CI89" i="1" s="1"/>
  <c r="CN92" i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BY91" i="1"/>
  <c r="BY90" i="1" s="1"/>
  <c r="CI92" i="1"/>
  <c r="CI91" i="1" s="1"/>
  <c r="CM92" i="1"/>
  <c r="CM91" i="1" s="1"/>
  <c r="CF92" i="1"/>
  <c r="CE78" i="1"/>
  <c r="CE77" i="1" s="1"/>
  <c r="BT92" i="1"/>
  <c r="BT91" i="1" s="1"/>
  <c r="BT90" i="1" s="1"/>
  <c r="BU91" i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K92" i="1"/>
  <c r="CK91" i="1" s="1"/>
  <c r="CK90" i="1" s="1"/>
  <c r="CK89" i="1" s="1"/>
  <c r="CK88" i="1" s="1"/>
  <c r="CT92" i="1"/>
  <c r="CT91" i="1" s="1"/>
  <c r="CT90" i="1" s="1"/>
  <c r="CT89" i="1" s="1"/>
  <c r="CT88" i="1" s="1"/>
  <c r="CT87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BY92" i="1"/>
  <c r="CL92" i="1"/>
  <c r="CL91" i="1" s="1"/>
  <c r="CL90" i="1" s="1"/>
  <c r="CS92" i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CO92" i="1"/>
  <c r="CO91" i="1" s="1"/>
  <c r="CO90" i="1" s="1"/>
  <c r="BR92" i="1"/>
  <c r="BR91" i="1" s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U92" i="1"/>
  <c r="C22" i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F34" i="1"/>
  <c r="CX33" i="1"/>
  <c r="BO86" i="1"/>
  <c r="BO71" i="1"/>
  <c r="BO90" i="1"/>
  <c r="BO75" i="1"/>
  <c r="BO79" i="1"/>
  <c r="BT50" i="1" l="1"/>
  <c r="BT38" i="1"/>
  <c r="BS53" i="1"/>
  <c r="BS41" i="1"/>
  <c r="BS42" i="1"/>
  <c r="BT34" i="1"/>
  <c r="BU39" i="1"/>
  <c r="BT33" i="1"/>
  <c r="BT57" i="1"/>
  <c r="BR66" i="1"/>
  <c r="BR65" i="1" s="1"/>
  <c r="BR64" i="1" s="1"/>
  <c r="CK87" i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C83" i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BS92" i="1"/>
  <c r="BS91" i="1" s="1"/>
  <c r="BS90" i="1" s="1"/>
  <c r="BS89" i="1" s="1"/>
  <c r="BS88" i="1" s="1"/>
  <c r="BS87" i="1" s="1"/>
  <c r="BY89" i="1"/>
  <c r="BY88" i="1" s="1"/>
  <c r="BY87" i="1" s="1"/>
  <c r="BY86" i="1" s="1"/>
  <c r="BY85" i="1" s="1"/>
  <c r="BY84" i="1" s="1"/>
  <c r="BY83" i="1" s="1"/>
  <c r="BY82" i="1" s="1"/>
  <c r="BY81" i="1" s="1"/>
  <c r="BY80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M82" i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BS37" i="1"/>
  <c r="BS44" i="1"/>
  <c r="BS36" i="1"/>
  <c r="BS40" i="1"/>
  <c r="BT48" i="1"/>
  <c r="BS49" i="1"/>
  <c r="F35" i="1"/>
  <c r="CX34" i="1"/>
  <c r="CY34" i="1" s="1"/>
  <c r="CZ34" i="1" s="1"/>
  <c r="DA34" i="1" s="1"/>
  <c r="AL65" i="1"/>
  <c r="BT51" i="1"/>
  <c r="BT45" i="1"/>
  <c r="BT46" i="1"/>
  <c r="BW64" i="1"/>
  <c r="BW92" i="1"/>
  <c r="BW91" i="1" s="1"/>
  <c r="BW90" i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CA80" i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O89" i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B90" i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M90" i="1"/>
  <c r="CM89" i="1" s="1"/>
  <c r="CM88" i="1" s="1"/>
  <c r="CM87" i="1" s="1"/>
  <c r="CM86" i="1" s="1"/>
  <c r="CM85" i="1" s="1"/>
  <c r="CM84" i="1" s="1"/>
  <c r="CM83" i="1" s="1"/>
  <c r="CY33" i="1"/>
  <c r="CZ33" i="1" s="1"/>
  <c r="DA33" i="1" s="1"/>
  <c r="BT40" i="1"/>
  <c r="BT43" i="1"/>
  <c r="BS47" i="1"/>
  <c r="BS52" i="1"/>
  <c r="BT52" i="1"/>
  <c r="BU52" i="1" s="1"/>
  <c r="BT35" i="1"/>
  <c r="CS91" i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F91" i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BS86" i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CE76" i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N91" i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BS54" i="1"/>
  <c r="BT47" i="1"/>
  <c r="BS55" i="1"/>
  <c r="BS56" i="1"/>
  <c r="BT56" i="1"/>
  <c r="BU56" i="1" s="1"/>
  <c r="EA92" i="1"/>
  <c r="EA91" i="1" s="1"/>
  <c r="EA90" i="1" s="1"/>
  <c r="EA89" i="1" s="1"/>
  <c r="EA88" i="1" s="1"/>
  <c r="EA87" i="1" s="1"/>
  <c r="EA86" i="1" s="1"/>
  <c r="BS64" i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C92" i="1"/>
  <c r="CC91" i="1" s="1"/>
  <c r="CC90" i="1" s="1"/>
  <c r="CC89" i="1" s="1"/>
  <c r="CC88" i="1" s="1"/>
  <c r="CC87" i="1" s="1"/>
  <c r="CC86" i="1" s="1"/>
  <c r="CC85" i="1" s="1"/>
  <c r="CC84" i="1" s="1"/>
  <c r="CS79" i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BT89" i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Y79" i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CB92" i="1"/>
  <c r="CB91" i="1" s="1"/>
  <c r="CI88" i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BS62" i="1"/>
  <c r="BS61" i="1"/>
  <c r="BT60" i="1"/>
  <c r="BS58" i="1"/>
  <c r="BT58" i="1"/>
  <c r="BS59" i="1"/>
  <c r="CU65" i="1" l="1"/>
  <c r="CU64" i="1" s="1"/>
  <c r="BV52" i="1"/>
  <c r="BV56" i="1"/>
  <c r="DB34" i="1"/>
  <c r="BT53" i="1"/>
  <c r="BT54" i="1"/>
  <c r="BT37" i="1"/>
  <c r="BV39" i="1"/>
  <c r="BU60" i="1"/>
  <c r="BU46" i="1"/>
  <c r="F36" i="1"/>
  <c r="CX35" i="1"/>
  <c r="CY35" i="1" s="1"/>
  <c r="CZ35" i="1" s="1"/>
  <c r="DA35" i="1" s="1"/>
  <c r="DB35" i="1" s="1"/>
  <c r="AL66" i="1"/>
  <c r="BU45" i="1"/>
  <c r="BU58" i="1"/>
  <c r="BT49" i="1"/>
  <c r="BU34" i="1"/>
  <c r="BT61" i="1"/>
  <c r="BT62" i="1"/>
  <c r="BT55" i="1"/>
  <c r="BU48" i="1"/>
  <c r="BU57" i="1"/>
  <c r="BU47" i="1"/>
  <c r="BT44" i="1"/>
  <c r="BU35" i="1"/>
  <c r="BU38" i="1"/>
  <c r="BT59" i="1"/>
  <c r="BU33" i="1"/>
  <c r="BT42" i="1"/>
  <c r="EA85" i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BU40" i="1"/>
  <c r="BU43" i="1"/>
  <c r="BU51" i="1"/>
  <c r="BT36" i="1"/>
  <c r="BT41" i="1"/>
  <c r="BU50" i="1"/>
  <c r="BW39" i="1" l="1"/>
  <c r="BU44" i="1"/>
  <c r="BU53" i="1"/>
  <c r="BU36" i="1"/>
  <c r="BV38" i="1"/>
  <c r="BV57" i="1"/>
  <c r="F37" i="1"/>
  <c r="CX36" i="1"/>
  <c r="CY36" i="1" s="1"/>
  <c r="CZ36" i="1" s="1"/>
  <c r="DA36" i="1" s="1"/>
  <c r="DB36" i="1" s="1"/>
  <c r="AL67" i="1"/>
  <c r="BU37" i="1"/>
  <c r="EA64" i="1"/>
  <c r="AI64" i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BV47" i="1"/>
  <c r="BW56" i="1"/>
  <c r="BU42" i="1"/>
  <c r="BV33" i="1"/>
  <c r="BU61" i="1"/>
  <c r="BV46" i="1"/>
  <c r="BU54" i="1"/>
  <c r="BW52" i="1"/>
  <c r="BV60" i="1"/>
  <c r="BV40" i="1"/>
  <c r="BU55" i="1"/>
  <c r="BU49" i="1"/>
  <c r="BU59" i="1"/>
  <c r="BU62" i="1"/>
  <c r="BV51" i="1"/>
  <c r="BV50" i="1"/>
  <c r="DB33" i="1"/>
  <c r="DC33" i="1" s="1"/>
  <c r="BV43" i="1"/>
  <c r="BV45" i="1"/>
  <c r="BU41" i="1"/>
  <c r="BV58" i="1"/>
  <c r="BV35" i="1"/>
  <c r="BV48" i="1"/>
  <c r="BV34" i="1"/>
  <c r="BW45" i="1" l="1"/>
  <c r="BW46" i="1"/>
  <c r="BV36" i="1"/>
  <c r="BV62" i="1"/>
  <c r="BV53" i="1"/>
  <c r="BW35" i="1"/>
  <c r="BW40" i="1"/>
  <c r="BX56" i="1"/>
  <c r="BW43" i="1"/>
  <c r="F38" i="1"/>
  <c r="CX37" i="1"/>
  <c r="CY37" i="1" s="1"/>
  <c r="CZ37" i="1" s="1"/>
  <c r="DA37" i="1" s="1"/>
  <c r="DB37" i="1" s="1"/>
  <c r="DC37" i="1" s="1"/>
  <c r="AL68" i="1"/>
  <c r="BW58" i="1"/>
  <c r="BV59" i="1"/>
  <c r="BW60" i="1"/>
  <c r="BV61" i="1"/>
  <c r="BW47" i="1"/>
  <c r="DC35" i="1"/>
  <c r="DD35" i="1" s="1"/>
  <c r="BW50" i="1"/>
  <c r="BW33" i="1"/>
  <c r="BV49" i="1"/>
  <c r="BW57" i="1"/>
  <c r="BV44" i="1"/>
  <c r="BW34" i="1"/>
  <c r="BX52" i="1"/>
  <c r="BW38" i="1"/>
  <c r="BV41" i="1"/>
  <c r="BV42" i="1"/>
  <c r="BX39" i="1"/>
  <c r="DC36" i="1"/>
  <c r="DD33" i="1"/>
  <c r="BW48" i="1"/>
  <c r="BW51" i="1"/>
  <c r="BV55" i="1"/>
  <c r="BV54" i="1"/>
  <c r="BV37" i="1"/>
  <c r="DC34" i="1"/>
  <c r="DD34" i="1" s="1"/>
  <c r="BX57" i="1" l="1"/>
  <c r="BX47" i="1"/>
  <c r="BX58" i="1"/>
  <c r="DD37" i="1"/>
  <c r="DE33" i="1"/>
  <c r="BY39" i="1"/>
  <c r="BW36" i="1"/>
  <c r="BW61" i="1"/>
  <c r="DE34" i="1"/>
  <c r="BX34" i="1"/>
  <c r="BX33" i="1"/>
  <c r="F39" i="1"/>
  <c r="CX38" i="1"/>
  <c r="CY38" i="1" s="1"/>
  <c r="CZ38" i="1" s="1"/>
  <c r="DA38" i="1" s="1"/>
  <c r="DB38" i="1" s="1"/>
  <c r="DC38" i="1" s="1"/>
  <c r="DD38" i="1" s="1"/>
  <c r="DE38" i="1" s="1"/>
  <c r="AL69" i="1"/>
  <c r="BX35" i="1"/>
  <c r="BX46" i="1"/>
  <c r="BW54" i="1"/>
  <c r="BW62" i="1"/>
  <c r="BW55" i="1"/>
  <c r="BW49" i="1"/>
  <c r="BX40" i="1"/>
  <c r="BW42" i="1"/>
  <c r="BX60" i="1"/>
  <c r="BW59" i="1"/>
  <c r="BX38" i="1"/>
  <c r="BY56" i="1"/>
  <c r="BY52" i="1"/>
  <c r="BX51" i="1"/>
  <c r="BW37" i="1"/>
  <c r="BX48" i="1"/>
  <c r="BW41" i="1"/>
  <c r="BW44" i="1"/>
  <c r="BX50" i="1"/>
  <c r="BX43" i="1"/>
  <c r="BW53" i="1"/>
  <c r="BX45" i="1"/>
  <c r="BY35" i="1" l="1"/>
  <c r="BY43" i="1"/>
  <c r="BX62" i="1"/>
  <c r="BY48" i="1"/>
  <c r="BX42" i="1"/>
  <c r="BY58" i="1"/>
  <c r="DF33" i="1"/>
  <c r="BZ56" i="1"/>
  <c r="BX61" i="1"/>
  <c r="BX37" i="1"/>
  <c r="DE35" i="1"/>
  <c r="BX36" i="1"/>
  <c r="BY38" i="1"/>
  <c r="BY45" i="1"/>
  <c r="BY51" i="1"/>
  <c r="BX59" i="1"/>
  <c r="BX49" i="1"/>
  <c r="BY33" i="1"/>
  <c r="BY47" i="1"/>
  <c r="BY40" i="1"/>
  <c r="F40" i="1"/>
  <c r="CX39" i="1"/>
  <c r="CY39" i="1" s="1"/>
  <c r="CZ39" i="1" s="1"/>
  <c r="DA39" i="1" s="1"/>
  <c r="DB39" i="1" s="1"/>
  <c r="DC39" i="1" s="1"/>
  <c r="DD39" i="1" s="1"/>
  <c r="DE39" i="1" s="1"/>
  <c r="DF39" i="1" s="1"/>
  <c r="AL70" i="1"/>
  <c r="BX44" i="1"/>
  <c r="BY60" i="1"/>
  <c r="BY46" i="1"/>
  <c r="BZ39" i="1"/>
  <c r="DE37" i="1"/>
  <c r="BY50" i="1"/>
  <c r="BX54" i="1"/>
  <c r="BX53" i="1"/>
  <c r="BX41" i="1"/>
  <c r="BZ52" i="1"/>
  <c r="BX55" i="1"/>
  <c r="BY34" i="1"/>
  <c r="DD36" i="1"/>
  <c r="DE36" i="1" s="1"/>
  <c r="BY57" i="1"/>
  <c r="BY53" i="1" l="1"/>
  <c r="BZ46" i="1"/>
  <c r="BZ38" i="1"/>
  <c r="BY55" i="1"/>
  <c r="BZ60" i="1"/>
  <c r="DF38" i="1"/>
  <c r="DG38" i="1" s="1"/>
  <c r="BY59" i="1"/>
  <c r="CA56" i="1"/>
  <c r="F41" i="1"/>
  <c r="CX40" i="1"/>
  <c r="CY40" i="1" s="1"/>
  <c r="CZ40" i="1" s="1"/>
  <c r="DA40" i="1" s="1"/>
  <c r="DB40" i="1" s="1"/>
  <c r="DC40" i="1" s="1"/>
  <c r="DD40" i="1" s="1"/>
  <c r="DE40" i="1" s="1"/>
  <c r="DF40" i="1" s="1"/>
  <c r="DG40" i="1" s="1"/>
  <c r="AL71" i="1"/>
  <c r="BZ35" i="1"/>
  <c r="BZ40" i="1"/>
  <c r="BY61" i="1"/>
  <c r="BY54" i="1"/>
  <c r="CA52" i="1"/>
  <c r="BY36" i="1"/>
  <c r="BY62" i="1"/>
  <c r="BZ34" i="1"/>
  <c r="BY42" i="1"/>
  <c r="BY49" i="1"/>
  <c r="BZ48" i="1"/>
  <c r="DF34" i="1"/>
  <c r="DG34" i="1" s="1"/>
  <c r="BZ50" i="1"/>
  <c r="BZ57" i="1"/>
  <c r="DF37" i="1"/>
  <c r="BY44" i="1"/>
  <c r="BZ47" i="1"/>
  <c r="BZ51" i="1"/>
  <c r="DF35" i="1"/>
  <c r="DG35" i="1" s="1"/>
  <c r="DF36" i="1"/>
  <c r="BY41" i="1"/>
  <c r="BZ58" i="1"/>
  <c r="BZ43" i="1"/>
  <c r="CA39" i="1"/>
  <c r="DG39" i="1"/>
  <c r="DH39" i="1" s="1"/>
  <c r="BZ33" i="1"/>
  <c r="DG33" i="1" s="1"/>
  <c r="BZ45" i="1"/>
  <c r="BY37" i="1"/>
  <c r="DH33" i="1" l="1"/>
  <c r="BZ44" i="1"/>
  <c r="BZ61" i="1"/>
  <c r="DH35" i="1"/>
  <c r="CB56" i="1"/>
  <c r="BZ54" i="1"/>
  <c r="BZ53" i="1"/>
  <c r="CA48" i="1"/>
  <c r="F42" i="1"/>
  <c r="CX41" i="1"/>
  <c r="CY41" i="1" s="1"/>
  <c r="CZ41" i="1" s="1"/>
  <c r="DA41" i="1" s="1"/>
  <c r="DB41" i="1" s="1"/>
  <c r="DC41" i="1" s="1"/>
  <c r="DD41" i="1" s="1"/>
  <c r="DE41" i="1" s="1"/>
  <c r="DF41" i="1" s="1"/>
  <c r="AL72" i="1"/>
  <c r="BZ49" i="1"/>
  <c r="BZ55" i="1"/>
  <c r="BZ37" i="1"/>
  <c r="BZ36" i="1"/>
  <c r="DG36" i="1" s="1"/>
  <c r="CA40" i="1"/>
  <c r="CA38" i="1"/>
  <c r="DI39" i="1"/>
  <c r="DG37" i="1"/>
  <c r="CB39" i="1"/>
  <c r="CA57" i="1"/>
  <c r="CA43" i="1"/>
  <c r="CA51" i="1"/>
  <c r="BZ42" i="1"/>
  <c r="BZ59" i="1"/>
  <c r="CA33" i="1"/>
  <c r="CA60" i="1"/>
  <c r="BZ41" i="1"/>
  <c r="BZ62" i="1"/>
  <c r="CA45" i="1"/>
  <c r="CA50" i="1"/>
  <c r="CB52" i="1"/>
  <c r="CA35" i="1"/>
  <c r="DH38" i="1"/>
  <c r="CA46" i="1"/>
  <c r="CA58" i="1"/>
  <c r="CA47" i="1"/>
  <c r="CA34" i="1"/>
  <c r="DH36" i="1" l="1"/>
  <c r="CB58" i="1"/>
  <c r="DI33" i="1"/>
  <c r="CB60" i="1"/>
  <c r="DI38" i="1"/>
  <c r="CB45" i="1"/>
  <c r="CB33" i="1"/>
  <c r="CB43" i="1"/>
  <c r="CB38" i="1"/>
  <c r="CA55" i="1"/>
  <c r="CA61" i="1"/>
  <c r="DH37" i="1"/>
  <c r="DJ39" i="1"/>
  <c r="CB46" i="1"/>
  <c r="CB48" i="1"/>
  <c r="CA53" i="1"/>
  <c r="CC56" i="1"/>
  <c r="CB50" i="1"/>
  <c r="CB51" i="1"/>
  <c r="CA37" i="1"/>
  <c r="CB34" i="1"/>
  <c r="DH34" i="1"/>
  <c r="DI34" i="1" s="1"/>
  <c r="CB35" i="1"/>
  <c r="DI35" i="1" s="1"/>
  <c r="CA62" i="1"/>
  <c r="CA59" i="1"/>
  <c r="CB57" i="1"/>
  <c r="CB40" i="1"/>
  <c r="CA49" i="1"/>
  <c r="F43" i="1"/>
  <c r="CX42" i="1"/>
  <c r="CY42" i="1" s="1"/>
  <c r="CZ42" i="1" s="1"/>
  <c r="DA42" i="1" s="1"/>
  <c r="DB42" i="1" s="1"/>
  <c r="DC42" i="1" s="1"/>
  <c r="DD42" i="1" s="1"/>
  <c r="DE42" i="1" s="1"/>
  <c r="DF42" i="1" s="1"/>
  <c r="DG42" i="1" s="1"/>
  <c r="AL73" i="1"/>
  <c r="CB47" i="1"/>
  <c r="CA54" i="1"/>
  <c r="CA44" i="1"/>
  <c r="CC52" i="1"/>
  <c r="CA41" i="1"/>
  <c r="CA42" i="1"/>
  <c r="CC39" i="1"/>
  <c r="CA36" i="1"/>
  <c r="DG41" i="1"/>
  <c r="DH41" i="1" s="1"/>
  <c r="DH40" i="1"/>
  <c r="DI40" i="1" s="1"/>
  <c r="CC58" i="1" l="1"/>
  <c r="CC48" i="1"/>
  <c r="CC40" i="1"/>
  <c r="CC47" i="1"/>
  <c r="CC50" i="1"/>
  <c r="CB49" i="1"/>
  <c r="CB42" i="1"/>
  <c r="CC51" i="1"/>
  <c r="CC35" i="1"/>
  <c r="DJ34" i="1"/>
  <c r="CC38" i="1"/>
  <c r="CD52" i="1"/>
  <c r="CC34" i="1"/>
  <c r="CD56" i="1"/>
  <c r="CC43" i="1"/>
  <c r="CC60" i="1"/>
  <c r="CB62" i="1"/>
  <c r="CC45" i="1"/>
  <c r="DJ38" i="1"/>
  <c r="CB41" i="1"/>
  <c r="CC46" i="1"/>
  <c r="CC57" i="1"/>
  <c r="CB36" i="1"/>
  <c r="CB59" i="1"/>
  <c r="CB54" i="1"/>
  <c r="CB55" i="1"/>
  <c r="DH42" i="1"/>
  <c r="DI42" i="1" s="1"/>
  <c r="F44" i="1"/>
  <c r="CX43" i="1"/>
  <c r="CY43" i="1" s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AL74" i="1"/>
  <c r="CD39" i="1"/>
  <c r="DK39" i="1" s="1"/>
  <c r="CB44" i="1"/>
  <c r="CB37" i="1"/>
  <c r="CB53" i="1"/>
  <c r="CB61" i="1"/>
  <c r="CC33" i="1"/>
  <c r="CC36" i="1" l="1"/>
  <c r="CD45" i="1"/>
  <c r="CD57" i="1"/>
  <c r="CD35" i="1"/>
  <c r="DI36" i="1"/>
  <c r="DJ36" i="1" s="1"/>
  <c r="CD33" i="1"/>
  <c r="CD40" i="1"/>
  <c r="CC44" i="1"/>
  <c r="CE56" i="1"/>
  <c r="CC61" i="1"/>
  <c r="CC62" i="1"/>
  <c r="DJ40" i="1"/>
  <c r="DK40" i="1" s="1"/>
  <c r="CD46" i="1"/>
  <c r="F45" i="1"/>
  <c r="CX44" i="1"/>
  <c r="CY44" i="1" s="1"/>
  <c r="CZ44" i="1" s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AL75" i="1"/>
  <c r="CD60" i="1"/>
  <c r="CE52" i="1"/>
  <c r="CD51" i="1"/>
  <c r="CD48" i="1"/>
  <c r="CC59" i="1"/>
  <c r="CC41" i="1"/>
  <c r="CD47" i="1"/>
  <c r="CD58" i="1"/>
  <c r="CC55" i="1"/>
  <c r="CC49" i="1"/>
  <c r="CE39" i="1"/>
  <c r="CC54" i="1"/>
  <c r="CD34" i="1"/>
  <c r="CD50" i="1"/>
  <c r="CC53" i="1"/>
  <c r="DJ33" i="1"/>
  <c r="DK33" i="1" s="1"/>
  <c r="CC37" i="1"/>
  <c r="DI37" i="1"/>
  <c r="DJ37" i="1" s="1"/>
  <c r="CD43" i="1"/>
  <c r="DK43" i="1" s="1"/>
  <c r="CD38" i="1"/>
  <c r="CC42" i="1"/>
  <c r="DI41" i="1"/>
  <c r="DJ35" i="1"/>
  <c r="CE35" i="1" l="1"/>
  <c r="CD41" i="1"/>
  <c r="CD55" i="1"/>
  <c r="CE57" i="1"/>
  <c r="CE38" i="1"/>
  <c r="CD54" i="1"/>
  <c r="CD42" i="1"/>
  <c r="CE34" i="1"/>
  <c r="CF52" i="1"/>
  <c r="CD59" i="1"/>
  <c r="DL33" i="1"/>
  <c r="CE58" i="1"/>
  <c r="CE60" i="1"/>
  <c r="CE40" i="1"/>
  <c r="CE48" i="1"/>
  <c r="CE45" i="1"/>
  <c r="CD61" i="1"/>
  <c r="CE33" i="1"/>
  <c r="CE46" i="1"/>
  <c r="CD44" i="1"/>
  <c r="DK34" i="1"/>
  <c r="CD53" i="1"/>
  <c r="DK35" i="1"/>
  <c r="DL35" i="1" s="1"/>
  <c r="DK38" i="1"/>
  <c r="DL38" i="1" s="1"/>
  <c r="CE47" i="1"/>
  <c r="F46" i="1"/>
  <c r="CX45" i="1"/>
  <c r="CY45" i="1" s="1"/>
  <c r="CZ45" i="1" s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AL76" i="1"/>
  <c r="CD36" i="1"/>
  <c r="DK36" i="1" s="1"/>
  <c r="DK37" i="1"/>
  <c r="DL40" i="1"/>
  <c r="CD37" i="1"/>
  <c r="CD62" i="1"/>
  <c r="CE43" i="1"/>
  <c r="CF39" i="1"/>
  <c r="DJ41" i="1"/>
  <c r="DK41" i="1" s="1"/>
  <c r="DJ42" i="1"/>
  <c r="CE50" i="1"/>
  <c r="CD49" i="1"/>
  <c r="CE51" i="1"/>
  <c r="CF56" i="1"/>
  <c r="DL39" i="1"/>
  <c r="CG39" i="1" l="1"/>
  <c r="CE42" i="1"/>
  <c r="CE55" i="1"/>
  <c r="CF48" i="1"/>
  <c r="CF57" i="1"/>
  <c r="CF45" i="1"/>
  <c r="CF43" i="1"/>
  <c r="CE59" i="1"/>
  <c r="CE54" i="1"/>
  <c r="CE41" i="1"/>
  <c r="CF34" i="1"/>
  <c r="CF51" i="1"/>
  <c r="DM38" i="1"/>
  <c r="CE36" i="1"/>
  <c r="CF33" i="1"/>
  <c r="DM33" i="1" s="1"/>
  <c r="DM39" i="1"/>
  <c r="DN39" i="1" s="1"/>
  <c r="CF50" i="1"/>
  <c r="CE62" i="1"/>
  <c r="CE53" i="1"/>
  <c r="CF40" i="1"/>
  <c r="DL34" i="1"/>
  <c r="DM34" i="1" s="1"/>
  <c r="CE61" i="1"/>
  <c r="CG52" i="1"/>
  <c r="CF38" i="1"/>
  <c r="CF35" i="1"/>
  <c r="CE44" i="1"/>
  <c r="CF47" i="1"/>
  <c r="CF58" i="1"/>
  <c r="CE49" i="1"/>
  <c r="CF46" i="1"/>
  <c r="DK42" i="1"/>
  <c r="DL42" i="1" s="1"/>
  <c r="CG56" i="1"/>
  <c r="CE37" i="1"/>
  <c r="DL37" i="1" s="1"/>
  <c r="F47" i="1"/>
  <c r="CX46" i="1"/>
  <c r="CY46" i="1" s="1"/>
  <c r="CZ46" i="1" s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AL77" i="1"/>
  <c r="DK44" i="1"/>
  <c r="CF60" i="1"/>
  <c r="DL43" i="1"/>
  <c r="DM43" i="1" s="1"/>
  <c r="DM37" i="1" l="1"/>
  <c r="CG45" i="1"/>
  <c r="DN38" i="1"/>
  <c r="CF54" i="1"/>
  <c r="DN34" i="1"/>
  <c r="CF42" i="1"/>
  <c r="CG47" i="1"/>
  <c r="CF41" i="1"/>
  <c r="CG57" i="1"/>
  <c r="CF44" i="1"/>
  <c r="CF49" i="1"/>
  <c r="CG35" i="1"/>
  <c r="DM45" i="1"/>
  <c r="DN45" i="1" s="1"/>
  <c r="CG50" i="1"/>
  <c r="CG51" i="1"/>
  <c r="CF59" i="1"/>
  <c r="CG48" i="1"/>
  <c r="CH52" i="1"/>
  <c r="CG46" i="1"/>
  <c r="DL41" i="1"/>
  <c r="DO39" i="1"/>
  <c r="DM35" i="1"/>
  <c r="CF53" i="1"/>
  <c r="CF55" i="1"/>
  <c r="CF62" i="1"/>
  <c r="CG60" i="1"/>
  <c r="CG58" i="1"/>
  <c r="CG38" i="1"/>
  <c r="CG40" i="1"/>
  <c r="CG34" i="1"/>
  <c r="CG43" i="1"/>
  <c r="DN43" i="1" s="1"/>
  <c r="CH39" i="1"/>
  <c r="DN46" i="1"/>
  <c r="CF36" i="1"/>
  <c r="F48" i="1"/>
  <c r="CX47" i="1"/>
  <c r="CY47" i="1" s="1"/>
  <c r="CZ47" i="1" s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AL78" i="1"/>
  <c r="CF61" i="1"/>
  <c r="CF37" i="1"/>
  <c r="DL44" i="1"/>
  <c r="CH56" i="1"/>
  <c r="CG33" i="1"/>
  <c r="DM40" i="1"/>
  <c r="DL36" i="1"/>
  <c r="DO43" i="1" l="1"/>
  <c r="DO47" i="1"/>
  <c r="CH58" i="1"/>
  <c r="F49" i="1"/>
  <c r="CX48" i="1"/>
  <c r="CY48" i="1" s="1"/>
  <c r="CZ48" i="1" s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AL79" i="1"/>
  <c r="DO45" i="1"/>
  <c r="CH57" i="1"/>
  <c r="DM44" i="1"/>
  <c r="CH34" i="1"/>
  <c r="CH60" i="1"/>
  <c r="DN35" i="1"/>
  <c r="CG54" i="1"/>
  <c r="CH33" i="1"/>
  <c r="CG42" i="1"/>
  <c r="CH48" i="1"/>
  <c r="CG36" i="1"/>
  <c r="CG41" i="1"/>
  <c r="DM36" i="1"/>
  <c r="DN36" i="1" s="1"/>
  <c r="CG37" i="1"/>
  <c r="DN37" i="1" s="1"/>
  <c r="CH40" i="1"/>
  <c r="CG59" i="1"/>
  <c r="DN40" i="1"/>
  <c r="CG62" i="1"/>
  <c r="CH46" i="1"/>
  <c r="CG49" i="1"/>
  <c r="CH47" i="1"/>
  <c r="CH45" i="1"/>
  <c r="CG55" i="1"/>
  <c r="CG44" i="1"/>
  <c r="DN33" i="1"/>
  <c r="DO33" i="1" s="1"/>
  <c r="CH43" i="1"/>
  <c r="CI52" i="1"/>
  <c r="CH50" i="1"/>
  <c r="CI56" i="1"/>
  <c r="CG53" i="1"/>
  <c r="CH35" i="1"/>
  <c r="DM41" i="1"/>
  <c r="DN41" i="1" s="1"/>
  <c r="CG61" i="1"/>
  <c r="CI39" i="1"/>
  <c r="CH38" i="1"/>
  <c r="CH51" i="1"/>
  <c r="DM42" i="1"/>
  <c r="DN42" i="1" s="1"/>
  <c r="CI40" i="1" l="1"/>
  <c r="CJ39" i="1"/>
  <c r="CI46" i="1"/>
  <c r="CI48" i="1"/>
  <c r="DP48" i="1" s="1"/>
  <c r="DP39" i="1"/>
  <c r="DQ39" i="1" s="1"/>
  <c r="DO36" i="1"/>
  <c r="DO40" i="1"/>
  <c r="CH42" i="1"/>
  <c r="F50" i="1"/>
  <c r="CX49" i="1"/>
  <c r="CY49" i="1" s="1"/>
  <c r="CZ49" i="1" s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AL80" i="1"/>
  <c r="CI50" i="1"/>
  <c r="CH54" i="1"/>
  <c r="CH55" i="1"/>
  <c r="DO35" i="1"/>
  <c r="CJ52" i="1"/>
  <c r="CH37" i="1"/>
  <c r="DO37" i="1" s="1"/>
  <c r="CI45" i="1"/>
  <c r="DO42" i="1"/>
  <c r="CI47" i="1"/>
  <c r="DP47" i="1" s="1"/>
  <c r="CH41" i="1"/>
  <c r="CI34" i="1"/>
  <c r="DO34" i="1"/>
  <c r="DP34" i="1" s="1"/>
  <c r="CI38" i="1"/>
  <c r="CI35" i="1"/>
  <c r="CH62" i="1"/>
  <c r="CI60" i="1"/>
  <c r="CH53" i="1"/>
  <c r="DO41" i="1"/>
  <c r="CI51" i="1"/>
  <c r="DO46" i="1"/>
  <c r="DP46" i="1" s="1"/>
  <c r="CJ56" i="1"/>
  <c r="CH59" i="1"/>
  <c r="CI33" i="1"/>
  <c r="DN44" i="1"/>
  <c r="DO44" i="1" s="1"/>
  <c r="CH61" i="1"/>
  <c r="CI43" i="1"/>
  <c r="DP43" i="1" s="1"/>
  <c r="DO38" i="1"/>
  <c r="DP38" i="1" s="1"/>
  <c r="CH44" i="1"/>
  <c r="CH49" i="1"/>
  <c r="CH36" i="1"/>
  <c r="CI58" i="1"/>
  <c r="CI57" i="1"/>
  <c r="DQ43" i="1" l="1"/>
  <c r="CI61" i="1"/>
  <c r="CK56" i="1"/>
  <c r="CJ60" i="1"/>
  <c r="DP42" i="1"/>
  <c r="F51" i="1"/>
  <c r="CX50" i="1"/>
  <c r="CY50" i="1" s="1"/>
  <c r="CZ50" i="1" s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AL81" i="1"/>
  <c r="CJ33" i="1"/>
  <c r="CJ58" i="1"/>
  <c r="CJ35" i="1"/>
  <c r="CJ50" i="1"/>
  <c r="CJ40" i="1"/>
  <c r="CI53" i="1"/>
  <c r="DP35" i="1"/>
  <c r="DQ35" i="1" s="1"/>
  <c r="CI49" i="1"/>
  <c r="DP49" i="1" s="1"/>
  <c r="CI55" i="1"/>
  <c r="CJ46" i="1"/>
  <c r="CI41" i="1"/>
  <c r="CI37" i="1"/>
  <c r="CJ43" i="1"/>
  <c r="CI59" i="1"/>
  <c r="CJ47" i="1"/>
  <c r="CK52" i="1"/>
  <c r="CI36" i="1"/>
  <c r="CJ38" i="1"/>
  <c r="DP33" i="1"/>
  <c r="DQ33" i="1" s="1"/>
  <c r="CJ48" i="1"/>
  <c r="DQ48" i="1" s="1"/>
  <c r="CI62" i="1"/>
  <c r="CJ34" i="1"/>
  <c r="CJ45" i="1"/>
  <c r="CI42" i="1"/>
  <c r="CJ57" i="1"/>
  <c r="CI44" i="1"/>
  <c r="DP44" i="1" s="1"/>
  <c r="CJ51" i="1"/>
  <c r="DP45" i="1"/>
  <c r="CI54" i="1"/>
  <c r="DP40" i="1"/>
  <c r="DQ40" i="1" s="1"/>
  <c r="CK39" i="1"/>
  <c r="DQ49" i="1" l="1"/>
  <c r="CK45" i="1"/>
  <c r="CK50" i="1"/>
  <c r="CJ41" i="1"/>
  <c r="CL39" i="1"/>
  <c r="CK38" i="1"/>
  <c r="DP41" i="1"/>
  <c r="DQ42" i="1"/>
  <c r="DR33" i="1"/>
  <c r="CL56" i="1"/>
  <c r="F52" i="1"/>
  <c r="CX51" i="1"/>
  <c r="CY51" i="1" s="1"/>
  <c r="CZ51" i="1" s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AL82" i="1"/>
  <c r="DR39" i="1"/>
  <c r="DS39" i="1" s="1"/>
  <c r="CJ36" i="1"/>
  <c r="CJ53" i="1"/>
  <c r="CJ54" i="1"/>
  <c r="CK43" i="1"/>
  <c r="DP36" i="1"/>
  <c r="DQ36" i="1" s="1"/>
  <c r="CK47" i="1"/>
  <c r="CK34" i="1"/>
  <c r="CJ59" i="1"/>
  <c r="CK35" i="1"/>
  <c r="CJ61" i="1"/>
  <c r="CK57" i="1"/>
  <c r="CK46" i="1"/>
  <c r="DQ34" i="1"/>
  <c r="DR34" i="1" s="1"/>
  <c r="DQ45" i="1"/>
  <c r="DR45" i="1" s="1"/>
  <c r="CJ42" i="1"/>
  <c r="CL52" i="1"/>
  <c r="CJ55" i="1"/>
  <c r="CK40" i="1"/>
  <c r="CK60" i="1"/>
  <c r="DQ47" i="1"/>
  <c r="DR47" i="1" s="1"/>
  <c r="CK51" i="1"/>
  <c r="DR43" i="1"/>
  <c r="CJ49" i="1"/>
  <c r="CJ44" i="1"/>
  <c r="DQ44" i="1" s="1"/>
  <c r="CJ62" i="1"/>
  <c r="CK58" i="1"/>
  <c r="DQ38" i="1"/>
  <c r="DR38" i="1" s="1"/>
  <c r="CK48" i="1"/>
  <c r="CJ37" i="1"/>
  <c r="DQ46" i="1"/>
  <c r="CK33" i="1"/>
  <c r="DP37" i="1"/>
  <c r="DQ37" i="1" s="1"/>
  <c r="DR44" i="1" l="1"/>
  <c r="CK36" i="1"/>
  <c r="CK41" i="1"/>
  <c r="CK49" i="1"/>
  <c r="CL35" i="1"/>
  <c r="CL46" i="1"/>
  <c r="DQ41" i="1"/>
  <c r="DR41" i="1" s="1"/>
  <c r="DS45" i="1"/>
  <c r="DT39" i="1"/>
  <c r="DR46" i="1"/>
  <c r="DS46" i="1" s="1"/>
  <c r="CK62" i="1"/>
  <c r="CK55" i="1"/>
  <c r="CK59" i="1"/>
  <c r="CK54" i="1"/>
  <c r="CL38" i="1"/>
  <c r="CL51" i="1"/>
  <c r="F53" i="1"/>
  <c r="CX52" i="1"/>
  <c r="CY52" i="1" s="1"/>
  <c r="CZ52" i="1" s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AL83" i="1"/>
  <c r="CL45" i="1"/>
  <c r="DS34" i="1"/>
  <c r="CL50" i="1"/>
  <c r="CL33" i="1"/>
  <c r="CL34" i="1"/>
  <c r="CK53" i="1"/>
  <c r="CM39" i="1"/>
  <c r="DR37" i="1"/>
  <c r="CL40" i="1"/>
  <c r="DR42" i="1"/>
  <c r="CL58" i="1"/>
  <c r="CL43" i="1"/>
  <c r="CK37" i="1"/>
  <c r="DR40" i="1"/>
  <c r="DS40" i="1" s="1"/>
  <c r="CM52" i="1"/>
  <c r="CL57" i="1"/>
  <c r="DR35" i="1"/>
  <c r="DR50" i="1"/>
  <c r="CL48" i="1"/>
  <c r="CK44" i="1"/>
  <c r="CL60" i="1"/>
  <c r="CK42" i="1"/>
  <c r="CK61" i="1"/>
  <c r="CL47" i="1"/>
  <c r="CM56" i="1"/>
  <c r="DR48" i="1"/>
  <c r="CN56" i="1" l="1"/>
  <c r="CM43" i="1"/>
  <c r="CM33" i="1"/>
  <c r="CL59" i="1"/>
  <c r="CN52" i="1"/>
  <c r="CM58" i="1"/>
  <c r="CN39" i="1"/>
  <c r="DT45" i="1"/>
  <c r="CL49" i="1"/>
  <c r="CM35" i="1"/>
  <c r="CL44" i="1"/>
  <c r="DS42" i="1"/>
  <c r="CL53" i="1"/>
  <c r="CM50" i="1"/>
  <c r="CM51" i="1"/>
  <c r="CL55" i="1"/>
  <c r="DS51" i="1"/>
  <c r="DU52" i="1"/>
  <c r="CM60" i="1"/>
  <c r="F54" i="1"/>
  <c r="CX53" i="1"/>
  <c r="CY53" i="1" s="1"/>
  <c r="CZ53" i="1" s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AL84" i="1"/>
  <c r="DS41" i="1"/>
  <c r="CL61" i="1"/>
  <c r="CL37" i="1"/>
  <c r="CM40" i="1"/>
  <c r="DT40" i="1" s="1"/>
  <c r="CM34" i="1"/>
  <c r="CM38" i="1"/>
  <c r="CL62" i="1"/>
  <c r="DU39" i="1"/>
  <c r="CM57" i="1"/>
  <c r="CL42" i="1"/>
  <c r="CM45" i="1"/>
  <c r="CM46" i="1"/>
  <c r="CL36" i="1"/>
  <c r="DS44" i="1"/>
  <c r="DS33" i="1"/>
  <c r="DT33" i="1" s="1"/>
  <c r="CM47" i="1"/>
  <c r="CM48" i="1"/>
  <c r="DT34" i="1"/>
  <c r="CL41" i="1"/>
  <c r="DS50" i="1"/>
  <c r="DT50" i="1" s="1"/>
  <c r="DR49" i="1"/>
  <c r="DS49" i="1" s="1"/>
  <c r="DS48" i="1"/>
  <c r="DT48" i="1" s="1"/>
  <c r="DS35" i="1"/>
  <c r="DT35" i="1" s="1"/>
  <c r="DR36" i="1"/>
  <c r="DS47" i="1"/>
  <c r="DT47" i="1" s="1"/>
  <c r="CL54" i="1"/>
  <c r="DS43" i="1"/>
  <c r="DS38" i="1"/>
  <c r="CN38" i="1" l="1"/>
  <c r="DV52" i="1"/>
  <c r="CO52" i="1"/>
  <c r="CO56" i="1"/>
  <c r="CM54" i="1"/>
  <c r="CM41" i="1"/>
  <c r="CM42" i="1"/>
  <c r="CM61" i="1"/>
  <c r="DT51" i="1"/>
  <c r="CM53" i="1"/>
  <c r="CM49" i="1"/>
  <c r="CM36" i="1"/>
  <c r="DU45" i="1"/>
  <c r="CM59" i="1"/>
  <c r="DS36" i="1"/>
  <c r="CN34" i="1"/>
  <c r="CM55" i="1"/>
  <c r="CN48" i="1"/>
  <c r="CN57" i="1"/>
  <c r="DT53" i="1"/>
  <c r="CM44" i="1"/>
  <c r="CO39" i="1"/>
  <c r="CN33" i="1"/>
  <c r="CN46" i="1"/>
  <c r="DT46" i="1"/>
  <c r="CN40" i="1"/>
  <c r="F55" i="1"/>
  <c r="CX54" i="1"/>
  <c r="CY54" i="1" s="1"/>
  <c r="CZ54" i="1" s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AL85" i="1"/>
  <c r="CN51" i="1"/>
  <c r="DT38" i="1"/>
  <c r="DU38" i="1" s="1"/>
  <c r="CN47" i="1"/>
  <c r="CN35" i="1"/>
  <c r="CN58" i="1"/>
  <c r="CN43" i="1"/>
  <c r="DT43" i="1"/>
  <c r="DU43" i="1" s="1"/>
  <c r="DU50" i="1"/>
  <c r="DU33" i="1"/>
  <c r="CN45" i="1"/>
  <c r="CM62" i="1"/>
  <c r="CM37" i="1"/>
  <c r="CN60" i="1"/>
  <c r="CN50" i="1"/>
  <c r="DS37" i="1"/>
  <c r="F56" i="1" l="1"/>
  <c r="CX55" i="1"/>
  <c r="CY55" i="1" s="1"/>
  <c r="CZ55" i="1" s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AL86" i="1"/>
  <c r="CO33" i="1"/>
  <c r="CN59" i="1"/>
  <c r="CN42" i="1"/>
  <c r="CP52" i="1"/>
  <c r="DV33" i="1"/>
  <c r="CN37" i="1"/>
  <c r="CO40" i="1"/>
  <c r="CP39" i="1"/>
  <c r="DT42" i="1"/>
  <c r="DU42" i="1" s="1"/>
  <c r="CN41" i="1"/>
  <c r="CO43" i="1"/>
  <c r="DU46" i="1"/>
  <c r="CN55" i="1"/>
  <c r="DT41" i="1"/>
  <c r="DU41" i="1" s="1"/>
  <c r="CN53" i="1"/>
  <c r="CO38" i="1"/>
  <c r="DV38" i="1" s="1"/>
  <c r="CO35" i="1"/>
  <c r="CN49" i="1"/>
  <c r="DT49" i="1"/>
  <c r="DU49" i="1" s="1"/>
  <c r="DT37" i="1"/>
  <c r="DU37" i="1" s="1"/>
  <c r="CN62" i="1"/>
  <c r="CO51" i="1"/>
  <c r="CN44" i="1"/>
  <c r="DU51" i="1"/>
  <c r="DV51" i="1" s="1"/>
  <c r="CN54" i="1"/>
  <c r="DT44" i="1"/>
  <c r="DU44" i="1" s="1"/>
  <c r="CO47" i="1"/>
  <c r="CO46" i="1"/>
  <c r="CO34" i="1"/>
  <c r="CN36" i="1"/>
  <c r="DV39" i="1"/>
  <c r="DW39" i="1" s="1"/>
  <c r="CO60" i="1"/>
  <c r="CO48" i="1"/>
  <c r="CO58" i="1"/>
  <c r="DU53" i="1"/>
  <c r="CO50" i="1"/>
  <c r="CO45" i="1"/>
  <c r="DU35" i="1"/>
  <c r="DV35" i="1" s="1"/>
  <c r="DT36" i="1"/>
  <c r="DU34" i="1"/>
  <c r="DV34" i="1" s="1"/>
  <c r="CN61" i="1"/>
  <c r="CP56" i="1"/>
  <c r="DU48" i="1"/>
  <c r="DV48" i="1" s="1"/>
  <c r="CO57" i="1"/>
  <c r="DU47" i="1"/>
  <c r="DV47" i="1" s="1"/>
  <c r="DU40" i="1"/>
  <c r="DV40" i="1" s="1"/>
  <c r="CQ52" i="1" l="1"/>
  <c r="CP57" i="1"/>
  <c r="CP34" i="1"/>
  <c r="CP43" i="1"/>
  <c r="F57" i="1"/>
  <c r="CX56" i="1"/>
  <c r="CY56" i="1" s="1"/>
  <c r="CZ56" i="1" s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AL87" i="1"/>
  <c r="DW48" i="1"/>
  <c r="CP48" i="1"/>
  <c r="CO37" i="1"/>
  <c r="CO36" i="1"/>
  <c r="DV37" i="1"/>
  <c r="DW35" i="1"/>
  <c r="CP45" i="1"/>
  <c r="CP46" i="1"/>
  <c r="CO44" i="1"/>
  <c r="CO49" i="1"/>
  <c r="CO55" i="1"/>
  <c r="CO41" i="1"/>
  <c r="DV45" i="1"/>
  <c r="CO59" i="1"/>
  <c r="CO62" i="1"/>
  <c r="CP58" i="1"/>
  <c r="CP40" i="1"/>
  <c r="CQ56" i="1"/>
  <c r="CP60" i="1"/>
  <c r="DW52" i="1"/>
  <c r="DX52" i="1" s="1"/>
  <c r="DW40" i="1"/>
  <c r="CP50" i="1"/>
  <c r="CP47" i="1"/>
  <c r="CP51" i="1"/>
  <c r="CP35" i="1"/>
  <c r="DV46" i="1"/>
  <c r="DW46" i="1" s="1"/>
  <c r="CQ39" i="1"/>
  <c r="DX39" i="1" s="1"/>
  <c r="DW33" i="1"/>
  <c r="CP33" i="1"/>
  <c r="CO61" i="1"/>
  <c r="DV53" i="1"/>
  <c r="DV44" i="1"/>
  <c r="DV55" i="1"/>
  <c r="CP38" i="1"/>
  <c r="DU36" i="1"/>
  <c r="CO54" i="1"/>
  <c r="DU54" i="1"/>
  <c r="DV54" i="1" s="1"/>
  <c r="DW51" i="1"/>
  <c r="DV49" i="1"/>
  <c r="CO53" i="1"/>
  <c r="DV43" i="1"/>
  <c r="DW43" i="1" s="1"/>
  <c r="CO42" i="1"/>
  <c r="DV50" i="1"/>
  <c r="DW50" i="1" s="1"/>
  <c r="CP55" i="1" l="1"/>
  <c r="CQ47" i="1"/>
  <c r="CQ60" i="1"/>
  <c r="CP62" i="1"/>
  <c r="DX35" i="1"/>
  <c r="CQ48" i="1"/>
  <c r="CQ34" i="1"/>
  <c r="CQ45" i="1"/>
  <c r="CR56" i="1"/>
  <c r="CP59" i="1"/>
  <c r="CQ57" i="1"/>
  <c r="DY56" i="1"/>
  <c r="DW54" i="1"/>
  <c r="CP49" i="1"/>
  <c r="CP61" i="1"/>
  <c r="DW45" i="1"/>
  <c r="DX45" i="1" s="1"/>
  <c r="CP44" i="1"/>
  <c r="DW44" i="1" s="1"/>
  <c r="CP36" i="1"/>
  <c r="DX43" i="1"/>
  <c r="DV36" i="1"/>
  <c r="DW36" i="1" s="1"/>
  <c r="DW47" i="1"/>
  <c r="CQ35" i="1"/>
  <c r="DX40" i="1"/>
  <c r="CQ40" i="1"/>
  <c r="F58" i="1"/>
  <c r="CX57" i="1"/>
  <c r="CY57" i="1" s="1"/>
  <c r="CZ57" i="1" s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AL88" i="1"/>
  <c r="CR52" i="1"/>
  <c r="DX50" i="1"/>
  <c r="CR39" i="1"/>
  <c r="DW37" i="1"/>
  <c r="CP42" i="1"/>
  <c r="CQ50" i="1"/>
  <c r="CP37" i="1"/>
  <c r="DX51" i="1"/>
  <c r="DW53" i="1"/>
  <c r="DX48" i="1"/>
  <c r="CP54" i="1"/>
  <c r="CQ33" i="1"/>
  <c r="DY52" i="1"/>
  <c r="CP41" i="1"/>
  <c r="CQ46" i="1"/>
  <c r="CQ43" i="1"/>
  <c r="DW34" i="1"/>
  <c r="DX34" i="1" s="1"/>
  <c r="CP53" i="1"/>
  <c r="CQ38" i="1"/>
  <c r="CQ51" i="1"/>
  <c r="DV42" i="1"/>
  <c r="CQ58" i="1"/>
  <c r="DV41" i="1"/>
  <c r="DW41" i="1" s="1"/>
  <c r="DW38" i="1"/>
  <c r="DX38" i="1" s="1"/>
  <c r="CQ61" i="1" l="1"/>
  <c r="CR60" i="1"/>
  <c r="CQ59" i="1"/>
  <c r="CR34" i="1"/>
  <c r="CR58" i="1"/>
  <c r="DY38" i="1"/>
  <c r="F59" i="1"/>
  <c r="CX58" i="1"/>
  <c r="CY58" i="1" s="1"/>
  <c r="CZ58" i="1" s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AL89" i="1"/>
  <c r="CQ49" i="1"/>
  <c r="CR48" i="1"/>
  <c r="DY48" i="1" s="1"/>
  <c r="CR47" i="1"/>
  <c r="CR46" i="1"/>
  <c r="CQ42" i="1"/>
  <c r="CR38" i="1"/>
  <c r="CQ41" i="1"/>
  <c r="CQ53" i="1"/>
  <c r="CQ37" i="1"/>
  <c r="CS39" i="1"/>
  <c r="CR40" i="1"/>
  <c r="DY40" i="1" s="1"/>
  <c r="CQ36" i="1"/>
  <c r="DX54" i="1"/>
  <c r="CS56" i="1"/>
  <c r="CR33" i="1"/>
  <c r="DX33" i="1"/>
  <c r="DX46" i="1"/>
  <c r="DY46" i="1" s="1"/>
  <c r="DW42" i="1"/>
  <c r="DX42" i="1" s="1"/>
  <c r="DZ56" i="1"/>
  <c r="CR43" i="1"/>
  <c r="CS52" i="1"/>
  <c r="DZ52" i="1" s="1"/>
  <c r="CR35" i="1"/>
  <c r="DY45" i="1"/>
  <c r="CR45" i="1"/>
  <c r="CQ62" i="1"/>
  <c r="DW49" i="1"/>
  <c r="DX49" i="1" s="1"/>
  <c r="DY34" i="1"/>
  <c r="DY50" i="1"/>
  <c r="DY35" i="1"/>
  <c r="CQ44" i="1"/>
  <c r="CQ55" i="1"/>
  <c r="CR50" i="1"/>
  <c r="CR51" i="1"/>
  <c r="CQ54" i="1"/>
  <c r="DX47" i="1"/>
  <c r="DY47" i="1" s="1"/>
  <c r="CR57" i="1"/>
  <c r="DW55" i="1"/>
  <c r="DY39" i="1"/>
  <c r="DZ39" i="1" s="1"/>
  <c r="DZ40" i="1" l="1"/>
  <c r="DZ47" i="1"/>
  <c r="CS33" i="1"/>
  <c r="DZ50" i="1"/>
  <c r="CS58" i="1"/>
  <c r="CR62" i="1"/>
  <c r="CR41" i="1"/>
  <c r="CS51" i="1"/>
  <c r="CS50" i="1"/>
  <c r="DY33" i="1"/>
  <c r="CR36" i="1"/>
  <c r="CR53" i="1"/>
  <c r="CR42" i="1"/>
  <c r="CR49" i="1"/>
  <c r="CR55" i="1"/>
  <c r="DX55" i="1"/>
  <c r="DY55" i="1" s="1"/>
  <c r="CS35" i="1"/>
  <c r="DY49" i="1"/>
  <c r="CS46" i="1"/>
  <c r="DZ46" i="1" s="1"/>
  <c r="DY51" i="1"/>
  <c r="CS60" i="1"/>
  <c r="EA39" i="1"/>
  <c r="CS57" i="1"/>
  <c r="CT52" i="1"/>
  <c r="CS40" i="1"/>
  <c r="CS34" i="1"/>
  <c r="DZ34" i="1" s="1"/>
  <c r="CR61" i="1"/>
  <c r="DZ58" i="1"/>
  <c r="CS43" i="1"/>
  <c r="CT39" i="1"/>
  <c r="DX41" i="1"/>
  <c r="DY41" i="1" s="1"/>
  <c r="CS47" i="1"/>
  <c r="F60" i="1"/>
  <c r="CX59" i="1"/>
  <c r="CY59" i="1" s="1"/>
  <c r="CZ59" i="1" s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AL90" i="1"/>
  <c r="CR59" i="1"/>
  <c r="CS59" i="1" s="1"/>
  <c r="DX36" i="1"/>
  <c r="DY36" i="1" s="1"/>
  <c r="CR54" i="1"/>
  <c r="CR44" i="1"/>
  <c r="CS45" i="1"/>
  <c r="EA56" i="1"/>
  <c r="CT56" i="1"/>
  <c r="CS38" i="1"/>
  <c r="DX53" i="1"/>
  <c r="DY53" i="1" s="1"/>
  <c r="DY43" i="1"/>
  <c r="DY57" i="1"/>
  <c r="DZ57" i="1" s="1"/>
  <c r="DZ45" i="1"/>
  <c r="DY42" i="1"/>
  <c r="CR37" i="1"/>
  <c r="CS48" i="1"/>
  <c r="DZ38" i="1"/>
  <c r="DX37" i="1"/>
  <c r="DY37" i="1" s="1"/>
  <c r="DX44" i="1"/>
  <c r="DY44" i="1" s="1"/>
  <c r="CS42" i="1" l="1"/>
  <c r="AH39" i="1"/>
  <c r="CU39" i="1"/>
  <c r="CT59" i="1"/>
  <c r="CT60" i="1"/>
  <c r="CT51" i="1"/>
  <c r="EA50" i="1"/>
  <c r="CT34" i="1"/>
  <c r="CT35" i="1"/>
  <c r="CT40" i="1"/>
  <c r="CT48" i="1"/>
  <c r="DZ43" i="1"/>
  <c r="CT45" i="1"/>
  <c r="DZ51" i="1"/>
  <c r="EA51" i="1" s="1"/>
  <c r="DZ35" i="1"/>
  <c r="CS53" i="1"/>
  <c r="DZ42" i="1"/>
  <c r="AH52" i="1"/>
  <c r="CU52" i="1"/>
  <c r="CS55" i="1"/>
  <c r="CS36" i="1"/>
  <c r="CS62" i="1"/>
  <c r="EA47" i="1"/>
  <c r="CT43" i="1"/>
  <c r="CS41" i="1"/>
  <c r="CT38" i="1"/>
  <c r="DZ33" i="1"/>
  <c r="EA33" i="1" s="1"/>
  <c r="EA52" i="1"/>
  <c r="EA59" i="1"/>
  <c r="CT46" i="1"/>
  <c r="CT33" i="1"/>
  <c r="CS44" i="1"/>
  <c r="F61" i="1"/>
  <c r="CX60" i="1"/>
  <c r="CY60" i="1" s="1"/>
  <c r="CZ60" i="1" s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AL91" i="1"/>
  <c r="CS37" i="1"/>
  <c r="DZ37" i="1" s="1"/>
  <c r="CS54" i="1"/>
  <c r="DY54" i="1"/>
  <c r="AH56" i="1"/>
  <c r="CU56" i="1"/>
  <c r="CT47" i="1"/>
  <c r="CS61" i="1"/>
  <c r="CT57" i="1"/>
  <c r="CS49" i="1"/>
  <c r="CT50" i="1"/>
  <c r="CT58" i="1"/>
  <c r="EA58" i="1" s="1"/>
  <c r="DZ48" i="1"/>
  <c r="EA48" i="1" s="1"/>
  <c r="CT49" i="1" l="1"/>
  <c r="CT44" i="1"/>
  <c r="DZ44" i="1"/>
  <c r="EA44" i="1" s="1"/>
  <c r="AH45" i="1"/>
  <c r="CU45" i="1"/>
  <c r="AH35" i="1"/>
  <c r="CU35" i="1"/>
  <c r="AH60" i="1"/>
  <c r="CU60" i="1"/>
  <c r="BN70" i="1"/>
  <c r="AG39" i="1"/>
  <c r="BN87" i="1"/>
  <c r="AG56" i="1"/>
  <c r="DZ49" i="1"/>
  <c r="EA45" i="1"/>
  <c r="AH58" i="1"/>
  <c r="CU58" i="1"/>
  <c r="CT62" i="1"/>
  <c r="BN83" i="1"/>
  <c r="AG52" i="1"/>
  <c r="EA43" i="1"/>
  <c r="AH34" i="1"/>
  <c r="CU34" i="1"/>
  <c r="CT54" i="1"/>
  <c r="CT61" i="1"/>
  <c r="AH33" i="1"/>
  <c r="CU33" i="1"/>
  <c r="AH38" i="1"/>
  <c r="CU38" i="1"/>
  <c r="AH50" i="1"/>
  <c r="CU50" i="1"/>
  <c r="AH47" i="1"/>
  <c r="CU47" i="1"/>
  <c r="EA42" i="1"/>
  <c r="AH48" i="1"/>
  <c r="CU48" i="1"/>
  <c r="AH59" i="1"/>
  <c r="CU59" i="1"/>
  <c r="CT42" i="1"/>
  <c r="CT37" i="1"/>
  <c r="CT41" i="1"/>
  <c r="CT36" i="1"/>
  <c r="EA38" i="1"/>
  <c r="AH46" i="1"/>
  <c r="CU46" i="1"/>
  <c r="AH43" i="1"/>
  <c r="CU43" i="1"/>
  <c r="CT53" i="1"/>
  <c r="AH40" i="1"/>
  <c r="CU40" i="1"/>
  <c r="EA40" i="1"/>
  <c r="DZ41" i="1"/>
  <c r="EA41" i="1" s="1"/>
  <c r="EA35" i="1"/>
  <c r="AH51" i="1"/>
  <c r="CU51" i="1"/>
  <c r="DZ36" i="1"/>
  <c r="EA36" i="1" s="1"/>
  <c r="EA34" i="1"/>
  <c r="AH57" i="1"/>
  <c r="CU57" i="1"/>
  <c r="DZ54" i="1"/>
  <c r="EA54" i="1" s="1"/>
  <c r="F62" i="1"/>
  <c r="CX61" i="1"/>
  <c r="CY61" i="1" s="1"/>
  <c r="CZ61" i="1" s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AL92" i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DZ53" i="1"/>
  <c r="EA53" i="1" s="1"/>
  <c r="CT55" i="1"/>
  <c r="EA57" i="1"/>
  <c r="DZ55" i="1"/>
  <c r="EA55" i="1" s="1"/>
  <c r="EA46" i="1"/>
  <c r="CX62" i="1" l="1"/>
  <c r="CY62" i="1" s="1"/>
  <c r="CZ62" i="1" s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AL93" i="1"/>
  <c r="BN74" i="1"/>
  <c r="AG43" i="1"/>
  <c r="AH37" i="1"/>
  <c r="CU37" i="1"/>
  <c r="BN64" i="1"/>
  <c r="AG33" i="1"/>
  <c r="BM83" i="1"/>
  <c r="AF52" i="1"/>
  <c r="BM87" i="1"/>
  <c r="AF56" i="1"/>
  <c r="BN76" i="1"/>
  <c r="AG45" i="1"/>
  <c r="AH61" i="1"/>
  <c r="CU61" i="1"/>
  <c r="BN78" i="1"/>
  <c r="AG47" i="1"/>
  <c r="BM70" i="1"/>
  <c r="AF39" i="1"/>
  <c r="BN88" i="1"/>
  <c r="AG57" i="1"/>
  <c r="AH42" i="1"/>
  <c r="CU42" i="1"/>
  <c r="AH54" i="1"/>
  <c r="CU54" i="1"/>
  <c r="AH44" i="1"/>
  <c r="CU44" i="1"/>
  <c r="BN77" i="1"/>
  <c r="AG46" i="1"/>
  <c r="CU62" i="1"/>
  <c r="AH55" i="1"/>
  <c r="CU55" i="1"/>
  <c r="BN71" i="1"/>
  <c r="AG40" i="1"/>
  <c r="AH36" i="1"/>
  <c r="CU36" i="1"/>
  <c r="BN81" i="1"/>
  <c r="AG50" i="1"/>
  <c r="AH53" i="1"/>
  <c r="CU53" i="1"/>
  <c r="BN90" i="1"/>
  <c r="AG59" i="1"/>
  <c r="BN89" i="1"/>
  <c r="AG58" i="1"/>
  <c r="BN91" i="1"/>
  <c r="AG60" i="1"/>
  <c r="AH49" i="1"/>
  <c r="CU49" i="1"/>
  <c r="CX64" i="1"/>
  <c r="F64" i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AH41" i="1"/>
  <c r="CU41" i="1"/>
  <c r="BN69" i="1"/>
  <c r="AG38" i="1"/>
  <c r="BN65" i="1"/>
  <c r="AG34" i="1"/>
  <c r="BN82" i="1"/>
  <c r="AG51" i="1"/>
  <c r="BN79" i="1"/>
  <c r="AG48" i="1"/>
  <c r="EA49" i="1"/>
  <c r="BN66" i="1"/>
  <c r="AG35" i="1"/>
  <c r="EA37" i="1"/>
  <c r="BN86" i="1" l="1"/>
  <c r="AG55" i="1"/>
  <c r="BM69" i="1"/>
  <c r="AF38" i="1"/>
  <c r="BM91" i="1"/>
  <c r="AF60" i="1"/>
  <c r="BM81" i="1"/>
  <c r="AF50" i="1"/>
  <c r="BM64" i="1"/>
  <c r="AF33" i="1"/>
  <c r="BN84" i="1"/>
  <c r="AG53" i="1"/>
  <c r="BN73" i="1"/>
  <c r="AG42" i="1"/>
  <c r="BN92" i="1"/>
  <c r="DZ92" i="1" s="1"/>
  <c r="DZ91" i="1" s="1"/>
  <c r="DZ90" i="1" s="1"/>
  <c r="DZ89" i="1" s="1"/>
  <c r="DZ88" i="1" s="1"/>
  <c r="DZ87" i="1" s="1"/>
  <c r="AG61" i="1"/>
  <c r="BM66" i="1"/>
  <c r="AF35" i="1"/>
  <c r="BN85" i="1"/>
  <c r="AG54" i="1"/>
  <c r="BM89" i="1"/>
  <c r="AF58" i="1"/>
  <c r="BM77" i="1"/>
  <c r="AF46" i="1"/>
  <c r="BM88" i="1"/>
  <c r="AF57" i="1"/>
  <c r="BM76" i="1"/>
  <c r="AF45" i="1"/>
  <c r="BN80" i="1"/>
  <c r="AG49" i="1"/>
  <c r="AH62" i="1"/>
  <c r="BM79" i="1"/>
  <c r="AF48" i="1"/>
  <c r="BN72" i="1"/>
  <c r="AG41" i="1"/>
  <c r="BN67" i="1"/>
  <c r="AG36" i="1"/>
  <c r="BN68" i="1"/>
  <c r="AG37" i="1"/>
  <c r="AF59" i="1"/>
  <c r="BM90" i="1"/>
  <c r="BM71" i="1"/>
  <c r="AF40" i="1"/>
  <c r="BL70" i="1"/>
  <c r="AE39" i="1"/>
  <c r="BL87" i="1"/>
  <c r="AE56" i="1"/>
  <c r="BM74" i="1"/>
  <c r="AF43" i="1"/>
  <c r="BM82" i="1"/>
  <c r="AF51" i="1"/>
  <c r="BN75" i="1"/>
  <c r="AG44" i="1"/>
  <c r="BM65" i="1"/>
  <c r="AF34" i="1"/>
  <c r="BM78" i="1"/>
  <c r="AF47" i="1"/>
  <c r="BL83" i="1"/>
  <c r="AE52" i="1"/>
  <c r="DZ86" i="1" l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BL77" i="1"/>
  <c r="AE46" i="1"/>
  <c r="BM92" i="1"/>
  <c r="DY92" i="1" s="1"/>
  <c r="DY91" i="1" s="1"/>
  <c r="DY90" i="1" s="1"/>
  <c r="DY89" i="1" s="1"/>
  <c r="DY88" i="1" s="1"/>
  <c r="DY87" i="1" s="1"/>
  <c r="AF61" i="1"/>
  <c r="BL81" i="1"/>
  <c r="AE50" i="1"/>
  <c r="BL90" i="1"/>
  <c r="AE59" i="1"/>
  <c r="BL65" i="1"/>
  <c r="AE34" i="1"/>
  <c r="BM68" i="1"/>
  <c r="AF37" i="1"/>
  <c r="BN93" i="1"/>
  <c r="AG62" i="1"/>
  <c r="BM80" i="1"/>
  <c r="AF49" i="1"/>
  <c r="BL89" i="1"/>
  <c r="AE58" i="1"/>
  <c r="BM73" i="1"/>
  <c r="AF42" i="1"/>
  <c r="BL91" i="1"/>
  <c r="AE60" i="1"/>
  <c r="BK87" i="1"/>
  <c r="AD56" i="1"/>
  <c r="BM75" i="1"/>
  <c r="AF44" i="1"/>
  <c r="BK70" i="1"/>
  <c r="AD39" i="1"/>
  <c r="BM67" i="1"/>
  <c r="AF36" i="1"/>
  <c r="BM85" i="1"/>
  <c r="AF54" i="1"/>
  <c r="BM84" i="1"/>
  <c r="AF53" i="1"/>
  <c r="BK83" i="1"/>
  <c r="AD52" i="1"/>
  <c r="BL71" i="1"/>
  <c r="AE40" i="1"/>
  <c r="BL88" i="1"/>
  <c r="AE57" i="1"/>
  <c r="BL66" i="1"/>
  <c r="AE35" i="1"/>
  <c r="BL64" i="1"/>
  <c r="AE33" i="1"/>
  <c r="BM86" i="1"/>
  <c r="AF55" i="1"/>
  <c r="BL76" i="1"/>
  <c r="AE45" i="1"/>
  <c r="BL69" i="1"/>
  <c r="AE38" i="1"/>
  <c r="BL82" i="1"/>
  <c r="AE51" i="1"/>
  <c r="BM72" i="1"/>
  <c r="AF41" i="1"/>
  <c r="BL78" i="1"/>
  <c r="AE47" i="1"/>
  <c r="BL74" i="1"/>
  <c r="AE43" i="1"/>
  <c r="BL79" i="1"/>
  <c r="AE48" i="1"/>
  <c r="AH64" i="1" l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DY86" i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DY64" i="1" s="1"/>
  <c r="BL72" i="1"/>
  <c r="AE41" i="1"/>
  <c r="BK71" i="1"/>
  <c r="AD40" i="1"/>
  <c r="BL67" i="1"/>
  <c r="AE36" i="1"/>
  <c r="BK91" i="1"/>
  <c r="AD60" i="1"/>
  <c r="BM93" i="1"/>
  <c r="AF62" i="1"/>
  <c r="BJ83" i="1"/>
  <c r="AC52" i="1"/>
  <c r="BL68" i="1"/>
  <c r="AE37" i="1"/>
  <c r="BK81" i="1"/>
  <c r="AD50" i="1"/>
  <c r="BK82" i="1"/>
  <c r="AD51" i="1"/>
  <c r="BJ70" i="1"/>
  <c r="AC39" i="1"/>
  <c r="BK79" i="1"/>
  <c r="AD48" i="1"/>
  <c r="BK64" i="1"/>
  <c r="AD33" i="1"/>
  <c r="BL73" i="1"/>
  <c r="AE42" i="1"/>
  <c r="BK74" i="1"/>
  <c r="AD43" i="1"/>
  <c r="BK69" i="1"/>
  <c r="AD38" i="1"/>
  <c r="BK66" i="1"/>
  <c r="AD35" i="1"/>
  <c r="BL84" i="1"/>
  <c r="AE53" i="1"/>
  <c r="BL75" i="1"/>
  <c r="AE44" i="1"/>
  <c r="BK89" i="1"/>
  <c r="AD58" i="1"/>
  <c r="BK65" i="1"/>
  <c r="AD34" i="1"/>
  <c r="BL92" i="1"/>
  <c r="DX92" i="1" s="1"/>
  <c r="DX91" i="1" s="1"/>
  <c r="DX90" i="1" s="1"/>
  <c r="DX89" i="1" s="1"/>
  <c r="DX88" i="1" s="1"/>
  <c r="DX87" i="1" s="1"/>
  <c r="AE61" i="1"/>
  <c r="BL86" i="1"/>
  <c r="AE55" i="1"/>
  <c r="BK78" i="1"/>
  <c r="AD47" i="1"/>
  <c r="BK76" i="1"/>
  <c r="AD45" i="1"/>
  <c r="BK88" i="1"/>
  <c r="AD57" i="1"/>
  <c r="BL85" i="1"/>
  <c r="AE54" i="1"/>
  <c r="BJ87" i="1"/>
  <c r="AC56" i="1"/>
  <c r="BL80" i="1"/>
  <c r="AE49" i="1"/>
  <c r="BK90" i="1"/>
  <c r="AD59" i="1"/>
  <c r="BK77" i="1"/>
  <c r="AD46" i="1"/>
  <c r="AG64" i="1" l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BI70" i="1"/>
  <c r="AB39" i="1"/>
  <c r="BJ76" i="1"/>
  <c r="AC45" i="1"/>
  <c r="BJ65" i="1"/>
  <c r="AC34" i="1"/>
  <c r="BJ66" i="1"/>
  <c r="AC35" i="1"/>
  <c r="BJ64" i="1"/>
  <c r="AC33" i="1"/>
  <c r="BJ81" i="1"/>
  <c r="AC50" i="1"/>
  <c r="BJ91" i="1"/>
  <c r="AC60" i="1"/>
  <c r="BJ74" i="1"/>
  <c r="AC43" i="1"/>
  <c r="BJ77" i="1"/>
  <c r="AC46" i="1"/>
  <c r="BK86" i="1"/>
  <c r="AD55" i="1"/>
  <c r="BK80" i="1"/>
  <c r="AD49" i="1"/>
  <c r="BI87" i="1"/>
  <c r="AB56" i="1"/>
  <c r="BJ78" i="1"/>
  <c r="AC47" i="1"/>
  <c r="BJ89" i="1"/>
  <c r="AC58" i="1"/>
  <c r="BJ69" i="1"/>
  <c r="AC38" i="1"/>
  <c r="BJ79" i="1"/>
  <c r="AC48" i="1"/>
  <c r="BK68" i="1"/>
  <c r="AD37" i="1"/>
  <c r="BK67" i="1"/>
  <c r="AD36" i="1"/>
  <c r="BK75" i="1"/>
  <c r="AD44" i="1"/>
  <c r="BI83" i="1"/>
  <c r="AB52" i="1"/>
  <c r="BJ90" i="1"/>
  <c r="AC59" i="1"/>
  <c r="BJ88" i="1"/>
  <c r="AC57" i="1"/>
  <c r="BK92" i="1"/>
  <c r="DW92" i="1" s="1"/>
  <c r="DW91" i="1" s="1"/>
  <c r="DW90" i="1" s="1"/>
  <c r="DW89" i="1" s="1"/>
  <c r="DW88" i="1" s="1"/>
  <c r="DW87" i="1" s="1"/>
  <c r="DW86" i="1" s="1"/>
  <c r="AD61" i="1"/>
  <c r="BK84" i="1"/>
  <c r="AD53" i="1"/>
  <c r="BK73" i="1"/>
  <c r="AD42" i="1"/>
  <c r="BJ82" i="1"/>
  <c r="AC51" i="1"/>
  <c r="BL93" i="1"/>
  <c r="AE62" i="1"/>
  <c r="BK72" i="1"/>
  <c r="AD41" i="1"/>
  <c r="BK85" i="1"/>
  <c r="AD54" i="1"/>
  <c r="BJ71" i="1"/>
  <c r="AC40" i="1"/>
  <c r="DX86" i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W85" i="1" l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DX64" i="1"/>
  <c r="BJ72" i="1"/>
  <c r="AC41" i="1"/>
  <c r="BH83" i="1"/>
  <c r="AA52" i="1"/>
  <c r="BI79" i="1"/>
  <c r="AB48" i="1"/>
  <c r="BH87" i="1"/>
  <c r="AA56" i="1"/>
  <c r="BI74" i="1"/>
  <c r="AB43" i="1"/>
  <c r="BI66" i="1"/>
  <c r="AB35" i="1"/>
  <c r="BI71" i="1"/>
  <c r="AB40" i="1"/>
  <c r="BJ84" i="1"/>
  <c r="AC53" i="1"/>
  <c r="BK93" i="1"/>
  <c r="AD62" i="1"/>
  <c r="BJ92" i="1"/>
  <c r="DV92" i="1" s="1"/>
  <c r="DV91" i="1" s="1"/>
  <c r="DV90" i="1" s="1"/>
  <c r="DV89" i="1" s="1"/>
  <c r="DV88" i="1" s="1"/>
  <c r="DV87" i="1" s="1"/>
  <c r="AC61" i="1"/>
  <c r="BJ75" i="1"/>
  <c r="AC44" i="1"/>
  <c r="BI69" i="1"/>
  <c r="AB38" i="1"/>
  <c r="BJ80" i="1"/>
  <c r="AC49" i="1"/>
  <c r="BI91" i="1"/>
  <c r="AB60" i="1"/>
  <c r="BI65" i="1"/>
  <c r="AB34" i="1"/>
  <c r="BI82" i="1"/>
  <c r="AB51" i="1"/>
  <c r="BJ67" i="1"/>
  <c r="AC36" i="1"/>
  <c r="BJ86" i="1"/>
  <c r="AC55" i="1"/>
  <c r="BI81" i="1"/>
  <c r="AB50" i="1"/>
  <c r="BJ85" i="1"/>
  <c r="AC54" i="1"/>
  <c r="BJ73" i="1"/>
  <c r="AC42" i="1"/>
  <c r="BI90" i="1"/>
  <c r="AB59" i="1"/>
  <c r="BJ68" i="1"/>
  <c r="AC37" i="1"/>
  <c r="BI78" i="1"/>
  <c r="AB47" i="1"/>
  <c r="BI77" i="1"/>
  <c r="AB46" i="1"/>
  <c r="BI64" i="1"/>
  <c r="AB33" i="1"/>
  <c r="BH70" i="1"/>
  <c r="AA39" i="1"/>
  <c r="BI88" i="1"/>
  <c r="AB57" i="1"/>
  <c r="BI89" i="1"/>
  <c r="AB58" i="1"/>
  <c r="BI76" i="1"/>
  <c r="AB45" i="1"/>
  <c r="DW64" i="1" l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DV86" i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BI85" i="1"/>
  <c r="AB54" i="1"/>
  <c r="BH74" i="1"/>
  <c r="AA43" i="1"/>
  <c r="BH64" i="1"/>
  <c r="AA33" i="1"/>
  <c r="BH90" i="1"/>
  <c r="AA59" i="1"/>
  <c r="BI86" i="1"/>
  <c r="AB55" i="1"/>
  <c r="BH65" i="1"/>
  <c r="AA34" i="1"/>
  <c r="BI75" i="1"/>
  <c r="AB44" i="1"/>
  <c r="BH71" i="1"/>
  <c r="AA40" i="1"/>
  <c r="BH79" i="1"/>
  <c r="AA48" i="1"/>
  <c r="BH88" i="1"/>
  <c r="AA57" i="1"/>
  <c r="BI80" i="1"/>
  <c r="AB49" i="1"/>
  <c r="BH82" i="1"/>
  <c r="AA51" i="1"/>
  <c r="BI72" i="1"/>
  <c r="AB41" i="1"/>
  <c r="BH76" i="1"/>
  <c r="AA45" i="1"/>
  <c r="BH89" i="1"/>
  <c r="AA58" i="1"/>
  <c r="BH77" i="1"/>
  <c r="AA46" i="1"/>
  <c r="BI73" i="1"/>
  <c r="AB42" i="1"/>
  <c r="BI67" i="1"/>
  <c r="AB36" i="1"/>
  <c r="BH91" i="1"/>
  <c r="AA60" i="1"/>
  <c r="BI92" i="1"/>
  <c r="DU92" i="1" s="1"/>
  <c r="DU91" i="1" s="1"/>
  <c r="DU90" i="1" s="1"/>
  <c r="DU89" i="1" s="1"/>
  <c r="DU88" i="1" s="1"/>
  <c r="DU87" i="1" s="1"/>
  <c r="AB61" i="1"/>
  <c r="BH66" i="1"/>
  <c r="AA35" i="1"/>
  <c r="BG83" i="1"/>
  <c r="Z52" i="1"/>
  <c r="BH78" i="1"/>
  <c r="AA47" i="1"/>
  <c r="BJ93" i="1"/>
  <c r="AC62" i="1"/>
  <c r="BG70" i="1"/>
  <c r="Z39" i="1"/>
  <c r="BI68" i="1"/>
  <c r="AB37" i="1"/>
  <c r="BH81" i="1"/>
  <c r="AA50" i="1"/>
  <c r="BH69" i="1"/>
  <c r="AA38" i="1"/>
  <c r="BI84" i="1"/>
  <c r="AB53" i="1"/>
  <c r="BG87" i="1"/>
  <c r="Z56" i="1"/>
  <c r="DU86" i="1" l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BH92" i="1"/>
  <c r="DT92" i="1" s="1"/>
  <c r="DT91" i="1" s="1"/>
  <c r="DT90" i="1" s="1"/>
  <c r="DT89" i="1" s="1"/>
  <c r="DT88" i="1" s="1"/>
  <c r="DT87" i="1" s="1"/>
  <c r="AA61" i="1"/>
  <c r="BG77" i="1"/>
  <c r="Z46" i="1"/>
  <c r="BG82" i="1"/>
  <c r="Z51" i="1"/>
  <c r="BG71" i="1"/>
  <c r="Z40" i="1"/>
  <c r="BG90" i="1"/>
  <c r="Z59" i="1"/>
  <c r="BG78" i="1"/>
  <c r="Z47" i="1"/>
  <c r="BH75" i="1"/>
  <c r="AA44" i="1"/>
  <c r="BG64" i="1"/>
  <c r="Z33" i="1"/>
  <c r="AD64" i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DV64" i="1"/>
  <c r="BG91" i="1"/>
  <c r="Z60" i="1"/>
  <c r="BH67" i="1"/>
  <c r="AA36" i="1"/>
  <c r="BG76" i="1"/>
  <c r="Z45" i="1"/>
  <c r="BG88" i="1"/>
  <c r="Z57" i="1"/>
  <c r="BG65" i="1"/>
  <c r="Z34" i="1"/>
  <c r="BG74" i="1"/>
  <c r="Z43" i="1"/>
  <c r="BH80" i="1"/>
  <c r="AA49" i="1"/>
  <c r="BH68" i="1"/>
  <c r="AA37" i="1"/>
  <c r="BF70" i="1"/>
  <c r="Y39" i="1"/>
  <c r="BG66" i="1"/>
  <c r="Z35" i="1"/>
  <c r="BH73" i="1"/>
  <c r="AA42" i="1"/>
  <c r="BH72" i="1"/>
  <c r="AA41" i="1"/>
  <c r="BG79" i="1"/>
  <c r="Z48" i="1"/>
  <c r="BH86" i="1"/>
  <c r="AA55" i="1"/>
  <c r="BH85" i="1"/>
  <c r="AA54" i="1"/>
  <c r="BG81" i="1"/>
  <c r="Z50" i="1"/>
  <c r="BG89" i="1"/>
  <c r="Z58" i="1"/>
  <c r="BF87" i="1"/>
  <c r="Y56" i="1"/>
  <c r="BF83" i="1"/>
  <c r="Y52" i="1"/>
  <c r="BH84" i="1"/>
  <c r="AA53" i="1"/>
  <c r="BG69" i="1"/>
  <c r="Z38" i="1"/>
  <c r="BI93" i="1"/>
  <c r="AB62" i="1"/>
  <c r="DU64" i="1" l="1"/>
  <c r="BF66" i="1"/>
  <c r="Y35" i="1"/>
  <c r="BG80" i="1"/>
  <c r="Z49" i="1"/>
  <c r="BF76" i="1"/>
  <c r="Y45" i="1"/>
  <c r="BF64" i="1"/>
  <c r="Y33" i="1"/>
  <c r="BF71" i="1"/>
  <c r="Y40" i="1"/>
  <c r="BH93" i="1"/>
  <c r="AA62" i="1"/>
  <c r="BG86" i="1"/>
  <c r="Z55" i="1"/>
  <c r="BF69" i="1"/>
  <c r="Y38" i="1"/>
  <c r="BE70" i="1"/>
  <c r="X39" i="1"/>
  <c r="BG67" i="1"/>
  <c r="Z36" i="1"/>
  <c r="BG75" i="1"/>
  <c r="Z44" i="1"/>
  <c r="BF82" i="1"/>
  <c r="Y51" i="1"/>
  <c r="BE87" i="1"/>
  <c r="X56" i="1"/>
  <c r="BF79" i="1"/>
  <c r="Y48" i="1"/>
  <c r="BF74" i="1"/>
  <c r="Y43" i="1"/>
  <c r="BF89" i="1"/>
  <c r="Y58" i="1"/>
  <c r="BG84" i="1"/>
  <c r="Z53" i="1"/>
  <c r="BF81" i="1"/>
  <c r="Y50" i="1"/>
  <c r="BG72" i="1"/>
  <c r="Z41" i="1"/>
  <c r="BF65" i="1"/>
  <c r="Y34" i="1"/>
  <c r="BF91" i="1"/>
  <c r="Y60" i="1"/>
  <c r="BF78" i="1"/>
  <c r="Y47" i="1"/>
  <c r="BF77" i="1"/>
  <c r="Y46" i="1"/>
  <c r="BE83" i="1"/>
  <c r="X52" i="1"/>
  <c r="BG85" i="1"/>
  <c r="Z54" i="1"/>
  <c r="BG73" i="1"/>
  <c r="Z42" i="1"/>
  <c r="BG68" i="1"/>
  <c r="Z37" i="1"/>
  <c r="BF88" i="1"/>
  <c r="Y57" i="1"/>
  <c r="BF90" i="1"/>
  <c r="Y59" i="1"/>
  <c r="BG92" i="1"/>
  <c r="DS92" i="1" s="1"/>
  <c r="DS91" i="1" s="1"/>
  <c r="DS90" i="1" s="1"/>
  <c r="DS89" i="1" s="1"/>
  <c r="DS88" i="1" s="1"/>
  <c r="DS87" i="1" s="1"/>
  <c r="DS86" i="1" s="1"/>
  <c r="Z61" i="1"/>
  <c r="DT86" i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DS85" i="1" l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BE88" i="1"/>
  <c r="X57" i="1"/>
  <c r="BE82" i="1"/>
  <c r="X51" i="1"/>
  <c r="BE69" i="1"/>
  <c r="X38" i="1"/>
  <c r="BE64" i="1"/>
  <c r="X33" i="1"/>
  <c r="BF72" i="1"/>
  <c r="Y41" i="1"/>
  <c r="BE74" i="1"/>
  <c r="X43" i="1"/>
  <c r="BF75" i="1"/>
  <c r="Y44" i="1"/>
  <c r="BF86" i="1"/>
  <c r="Y55" i="1"/>
  <c r="BE76" i="1"/>
  <c r="X45" i="1"/>
  <c r="AB64" i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DT64" i="1"/>
  <c r="BD83" i="1"/>
  <c r="W52" i="1"/>
  <c r="BF92" i="1"/>
  <c r="DR92" i="1" s="1"/>
  <c r="DR91" i="1" s="1"/>
  <c r="DR90" i="1" s="1"/>
  <c r="DR89" i="1" s="1"/>
  <c r="DR88" i="1" s="1"/>
  <c r="DR87" i="1" s="1"/>
  <c r="DR86" i="1" s="1"/>
  <c r="Y61" i="1"/>
  <c r="BE78" i="1"/>
  <c r="X47" i="1"/>
  <c r="BE81" i="1"/>
  <c r="X50" i="1"/>
  <c r="BE79" i="1"/>
  <c r="X48" i="1"/>
  <c r="BF67" i="1"/>
  <c r="Y36" i="1"/>
  <c r="BG93" i="1"/>
  <c r="Z62" i="1"/>
  <c r="BF80" i="1"/>
  <c r="Y49" i="1"/>
  <c r="BE65" i="1"/>
  <c r="X34" i="1"/>
  <c r="BF68" i="1"/>
  <c r="Y37" i="1"/>
  <c r="BE89" i="1"/>
  <c r="X58" i="1"/>
  <c r="BE77" i="1"/>
  <c r="X46" i="1"/>
  <c r="BF73" i="1"/>
  <c r="Y42" i="1"/>
  <c r="BE90" i="1"/>
  <c r="X59" i="1"/>
  <c r="BF85" i="1"/>
  <c r="Y54" i="1"/>
  <c r="BE91" i="1"/>
  <c r="X60" i="1"/>
  <c r="BF84" i="1"/>
  <c r="Y53" i="1"/>
  <c r="BD87" i="1"/>
  <c r="W56" i="1"/>
  <c r="BD70" i="1"/>
  <c r="W39" i="1"/>
  <c r="BE71" i="1"/>
  <c r="X40" i="1"/>
  <c r="BE66" i="1"/>
  <c r="X35" i="1"/>
  <c r="DR85" i="1" l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DS64" i="1"/>
  <c r="BE67" i="1"/>
  <c r="X36" i="1"/>
  <c r="BE92" i="1"/>
  <c r="DQ92" i="1" s="1"/>
  <c r="DQ91" i="1" s="1"/>
  <c r="DQ90" i="1" s="1"/>
  <c r="DQ89" i="1" s="1"/>
  <c r="DQ88" i="1" s="1"/>
  <c r="DQ87" i="1" s="1"/>
  <c r="X61" i="1"/>
  <c r="BE86" i="1"/>
  <c r="X55" i="1"/>
  <c r="BD64" i="1"/>
  <c r="W33" i="1"/>
  <c r="BE68" i="1"/>
  <c r="X37" i="1"/>
  <c r="BE73" i="1"/>
  <c r="X42" i="1"/>
  <c r="BE75" i="1"/>
  <c r="X44" i="1"/>
  <c r="BD69" i="1"/>
  <c r="W38" i="1"/>
  <c r="BC87" i="1"/>
  <c r="V56" i="1"/>
  <c r="BD65" i="1"/>
  <c r="W34" i="1"/>
  <c r="BD90" i="1"/>
  <c r="W59" i="1"/>
  <c r="BD66" i="1"/>
  <c r="W35" i="1"/>
  <c r="BD91" i="1"/>
  <c r="W60" i="1"/>
  <c r="BE80" i="1"/>
  <c r="X49" i="1"/>
  <c r="BD81" i="1"/>
  <c r="W50" i="1"/>
  <c r="BD74" i="1"/>
  <c r="W43" i="1"/>
  <c r="BD82" i="1"/>
  <c r="W51" i="1"/>
  <c r="BC83" i="1"/>
  <c r="V52" i="1"/>
  <c r="BD71" i="1"/>
  <c r="W40" i="1"/>
  <c r="BE84" i="1"/>
  <c r="X53" i="1"/>
  <c r="BD79" i="1"/>
  <c r="W48" i="1"/>
  <c r="BD77" i="1"/>
  <c r="W46" i="1"/>
  <c r="BE85" i="1"/>
  <c r="X54" i="1"/>
  <c r="BD78" i="1"/>
  <c r="W47" i="1"/>
  <c r="BD76" i="1"/>
  <c r="W45" i="1"/>
  <c r="BE72" i="1"/>
  <c r="X41" i="1"/>
  <c r="BD88" i="1"/>
  <c r="W57" i="1"/>
  <c r="BC70" i="1"/>
  <c r="V39" i="1"/>
  <c r="BD89" i="1"/>
  <c r="W58" i="1"/>
  <c r="BF93" i="1"/>
  <c r="Y62" i="1"/>
  <c r="DR64" i="1" l="1"/>
  <c r="DQ86" i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BC74" i="1"/>
  <c r="V43" i="1"/>
  <c r="BC66" i="1"/>
  <c r="V35" i="1"/>
  <c r="BC69" i="1"/>
  <c r="V38" i="1"/>
  <c r="BC64" i="1"/>
  <c r="V33" i="1"/>
  <c r="BD85" i="1"/>
  <c r="W54" i="1"/>
  <c r="BD72" i="1"/>
  <c r="W41" i="1"/>
  <c r="BB83" i="1"/>
  <c r="U52" i="1"/>
  <c r="BC81" i="1"/>
  <c r="V50" i="1"/>
  <c r="BC90" i="1"/>
  <c r="V59" i="1"/>
  <c r="BD75" i="1"/>
  <c r="W44" i="1"/>
  <c r="BD86" i="1"/>
  <c r="W55" i="1"/>
  <c r="BE93" i="1"/>
  <c r="X62" i="1"/>
  <c r="BC77" i="1"/>
  <c r="V46" i="1"/>
  <c r="BC88" i="1"/>
  <c r="V57" i="1"/>
  <c r="BC89" i="1"/>
  <c r="V58" i="1"/>
  <c r="BC76" i="1"/>
  <c r="V45" i="1"/>
  <c r="BC79" i="1"/>
  <c r="V48" i="1"/>
  <c r="BD80" i="1"/>
  <c r="W49" i="1"/>
  <c r="BC65" i="1"/>
  <c r="V34" i="1"/>
  <c r="BD73" i="1"/>
  <c r="W42" i="1"/>
  <c r="BD92" i="1"/>
  <c r="DP92" i="1" s="1"/>
  <c r="DP91" i="1" s="1"/>
  <c r="DP90" i="1" s="1"/>
  <c r="DP89" i="1" s="1"/>
  <c r="DP88" i="1" s="1"/>
  <c r="DP87" i="1" s="1"/>
  <c r="W61" i="1"/>
  <c r="BC71" i="1"/>
  <c r="V40" i="1"/>
  <c r="BB70" i="1"/>
  <c r="U39" i="1"/>
  <c r="BC78" i="1"/>
  <c r="V47" i="1"/>
  <c r="BD84" i="1"/>
  <c r="W53" i="1"/>
  <c r="BC82" i="1"/>
  <c r="V51" i="1"/>
  <c r="BC91" i="1"/>
  <c r="V60" i="1"/>
  <c r="BB87" i="1"/>
  <c r="U56" i="1"/>
  <c r="BD68" i="1"/>
  <c r="W37" i="1"/>
  <c r="BD67" i="1"/>
  <c r="W36" i="1"/>
  <c r="DP86" i="1" l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BB76" i="1"/>
  <c r="U45" i="1"/>
  <c r="BD93" i="1"/>
  <c r="W62" i="1"/>
  <c r="BB81" i="1"/>
  <c r="U50" i="1"/>
  <c r="BB64" i="1"/>
  <c r="U33" i="1"/>
  <c r="BA87" i="1"/>
  <c r="T56" i="1"/>
  <c r="BC73" i="1"/>
  <c r="V42" i="1"/>
  <c r="BB65" i="1"/>
  <c r="U34" i="1"/>
  <c r="BB89" i="1"/>
  <c r="U58" i="1"/>
  <c r="BC86" i="1"/>
  <c r="V55" i="1"/>
  <c r="BA83" i="1"/>
  <c r="T52" i="1"/>
  <c r="BB69" i="1"/>
  <c r="U38" i="1"/>
  <c r="BA70" i="1"/>
  <c r="T39" i="1"/>
  <c r="BC67" i="1"/>
  <c r="V36" i="1"/>
  <c r="BB82" i="1"/>
  <c r="U51" i="1"/>
  <c r="BB71" i="1"/>
  <c r="U40" i="1"/>
  <c r="BB91" i="1"/>
  <c r="U60" i="1"/>
  <c r="BC80" i="1"/>
  <c r="V49" i="1"/>
  <c r="BB88" i="1"/>
  <c r="U57" i="1"/>
  <c r="BC75" i="1"/>
  <c r="V44" i="1"/>
  <c r="BC72" i="1"/>
  <c r="V41" i="1"/>
  <c r="BB66" i="1"/>
  <c r="U35" i="1"/>
  <c r="BB78" i="1"/>
  <c r="U47" i="1"/>
  <c r="BC68" i="1"/>
  <c r="V37" i="1"/>
  <c r="BC84" i="1"/>
  <c r="V53" i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DQ64" i="1"/>
  <c r="BC92" i="1"/>
  <c r="DO92" i="1" s="1"/>
  <c r="DO91" i="1" s="1"/>
  <c r="DO90" i="1" s="1"/>
  <c r="DO89" i="1" s="1"/>
  <c r="DO88" i="1" s="1"/>
  <c r="DO87" i="1" s="1"/>
  <c r="V61" i="1"/>
  <c r="BB79" i="1"/>
  <c r="U48" i="1"/>
  <c r="BB77" i="1"/>
  <c r="U46" i="1"/>
  <c r="BB90" i="1"/>
  <c r="U59" i="1"/>
  <c r="BC85" i="1"/>
  <c r="V54" i="1"/>
  <c r="BB74" i="1"/>
  <c r="U43" i="1"/>
  <c r="DO86" i="1" l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DP64" i="1"/>
  <c r="BA77" i="1"/>
  <c r="T46" i="1"/>
  <c r="BA91" i="1"/>
  <c r="T60" i="1"/>
  <c r="AZ70" i="1"/>
  <c r="S39" i="1"/>
  <c r="BA89" i="1"/>
  <c r="T58" i="1"/>
  <c r="BA64" i="1"/>
  <c r="T33" i="1"/>
  <c r="BB72" i="1"/>
  <c r="U41" i="1"/>
  <c r="BA79" i="1"/>
  <c r="T48" i="1"/>
  <c r="BB75" i="1"/>
  <c r="U44" i="1"/>
  <c r="BA71" i="1"/>
  <c r="T40" i="1"/>
  <c r="BA69" i="1"/>
  <c r="T38" i="1"/>
  <c r="BA65" i="1"/>
  <c r="T34" i="1"/>
  <c r="BA81" i="1"/>
  <c r="T50" i="1"/>
  <c r="BB84" i="1"/>
  <c r="U53" i="1"/>
  <c r="BB68" i="1"/>
  <c r="U37" i="1"/>
  <c r="BA74" i="1"/>
  <c r="T43" i="1"/>
  <c r="BB85" i="1"/>
  <c r="U54" i="1"/>
  <c r="BB92" i="1"/>
  <c r="DN92" i="1" s="1"/>
  <c r="DN91" i="1" s="1"/>
  <c r="DN90" i="1" s="1"/>
  <c r="DN89" i="1" s="1"/>
  <c r="DN88" i="1" s="1"/>
  <c r="DN87" i="1" s="1"/>
  <c r="U61" i="1"/>
  <c r="BA78" i="1"/>
  <c r="T47" i="1"/>
  <c r="BA88" i="1"/>
  <c r="T57" i="1"/>
  <c r="BA82" i="1"/>
  <c r="T51" i="1"/>
  <c r="AZ83" i="1"/>
  <c r="S52" i="1"/>
  <c r="BB73" i="1"/>
  <c r="U42" i="1"/>
  <c r="BC93" i="1"/>
  <c r="V62" i="1"/>
  <c r="BA90" i="1"/>
  <c r="T59" i="1"/>
  <c r="BA66" i="1"/>
  <c r="T35" i="1"/>
  <c r="BB80" i="1"/>
  <c r="U49" i="1"/>
  <c r="BB67" i="1"/>
  <c r="U36" i="1"/>
  <c r="BB86" i="1"/>
  <c r="U55" i="1"/>
  <c r="AZ87" i="1"/>
  <c r="S56" i="1"/>
  <c r="BA76" i="1"/>
  <c r="T45" i="1"/>
  <c r="DO64" i="1" l="1"/>
  <c r="AZ81" i="1"/>
  <c r="S50" i="1"/>
  <c r="AZ89" i="1"/>
  <c r="S58" i="1"/>
  <c r="BA67" i="1"/>
  <c r="T36" i="1"/>
  <c r="BA75" i="1"/>
  <c r="T44" i="1"/>
  <c r="BB93" i="1"/>
  <c r="U62" i="1"/>
  <c r="AZ88" i="1"/>
  <c r="S57" i="1"/>
  <c r="AZ74" i="1"/>
  <c r="S43" i="1"/>
  <c r="AZ65" i="1"/>
  <c r="S34" i="1"/>
  <c r="AZ79" i="1"/>
  <c r="S48" i="1"/>
  <c r="AY70" i="1"/>
  <c r="R39" i="1"/>
  <c r="AZ82" i="1"/>
  <c r="S51" i="1"/>
  <c r="BA85" i="1"/>
  <c r="T54" i="1"/>
  <c r="AY87" i="1"/>
  <c r="R56" i="1"/>
  <c r="BA73" i="1"/>
  <c r="T42" i="1"/>
  <c r="AZ78" i="1"/>
  <c r="S47" i="1"/>
  <c r="BA68" i="1"/>
  <c r="T37" i="1"/>
  <c r="AZ69" i="1"/>
  <c r="S38" i="1"/>
  <c r="BA72" i="1"/>
  <c r="T41" i="1"/>
  <c r="AZ91" i="1"/>
  <c r="S60" i="1"/>
  <c r="AZ76" i="1"/>
  <c r="S45" i="1"/>
  <c r="BA80" i="1"/>
  <c r="T49" i="1"/>
  <c r="AZ66" i="1"/>
  <c r="S35" i="1"/>
  <c r="BA86" i="1"/>
  <c r="T55" i="1"/>
  <c r="AZ90" i="1"/>
  <c r="S59" i="1"/>
  <c r="AY83" i="1"/>
  <c r="R52" i="1"/>
  <c r="BA92" i="1"/>
  <c r="DM92" i="1" s="1"/>
  <c r="DM91" i="1" s="1"/>
  <c r="DM90" i="1" s="1"/>
  <c r="DM89" i="1" s="1"/>
  <c r="DM88" i="1" s="1"/>
  <c r="DM87" i="1" s="1"/>
  <c r="T61" i="1"/>
  <c r="BA84" i="1"/>
  <c r="T53" i="1"/>
  <c r="AZ71" i="1"/>
  <c r="S40" i="1"/>
  <c r="AZ64" i="1"/>
  <c r="S33" i="1"/>
  <c r="AZ77" i="1"/>
  <c r="S46" i="1"/>
  <c r="DN86" i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DM86" i="1" l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DM64" i="1" s="1"/>
  <c r="AZ68" i="1"/>
  <c r="S37" i="1"/>
  <c r="AY65" i="1"/>
  <c r="R34" i="1"/>
  <c r="AZ75" i="1"/>
  <c r="S44" i="1"/>
  <c r="AY71" i="1"/>
  <c r="R40" i="1"/>
  <c r="AZ85" i="1"/>
  <c r="S54" i="1"/>
  <c r="AZ84" i="1"/>
  <c r="S53" i="1"/>
  <c r="AY78" i="1"/>
  <c r="R47" i="1"/>
  <c r="AY82" i="1"/>
  <c r="R51" i="1"/>
  <c r="AY74" i="1"/>
  <c r="R43" i="1"/>
  <c r="AZ67" i="1"/>
  <c r="S36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DN64" i="1"/>
  <c r="AY66" i="1"/>
  <c r="R35" i="1"/>
  <c r="AZ72" i="1"/>
  <c r="S41" i="1"/>
  <c r="AZ73" i="1"/>
  <c r="S42" i="1"/>
  <c r="AX70" i="1"/>
  <c r="Q39" i="1"/>
  <c r="AY88" i="1"/>
  <c r="R57" i="1"/>
  <c r="AY89" i="1"/>
  <c r="R58" i="1"/>
  <c r="AY90" i="1"/>
  <c r="R59" i="1"/>
  <c r="AZ86" i="1"/>
  <c r="S55" i="1"/>
  <c r="AY77" i="1"/>
  <c r="R46" i="1"/>
  <c r="AY64" i="1"/>
  <c r="R33" i="1"/>
  <c r="AX83" i="1"/>
  <c r="Q52" i="1"/>
  <c r="AZ80" i="1"/>
  <c r="S49" i="1"/>
  <c r="AY69" i="1"/>
  <c r="R38" i="1"/>
  <c r="AX87" i="1"/>
  <c r="Q56" i="1"/>
  <c r="AY79" i="1"/>
  <c r="R48" i="1"/>
  <c r="BA93" i="1"/>
  <c r="T62" i="1"/>
  <c r="AY81" i="1"/>
  <c r="R50" i="1"/>
  <c r="AY76" i="1"/>
  <c r="R45" i="1"/>
  <c r="AY91" i="1"/>
  <c r="R60" i="1"/>
  <c r="AZ92" i="1"/>
  <c r="DL92" i="1" s="1"/>
  <c r="DL91" i="1" s="1"/>
  <c r="DL90" i="1" s="1"/>
  <c r="DL89" i="1" s="1"/>
  <c r="DL88" i="1" s="1"/>
  <c r="DL87" i="1" s="1"/>
  <c r="DL86" i="1" s="1"/>
  <c r="S61" i="1"/>
  <c r="DL85" i="1" l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DL64" i="1" s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AY92" i="1"/>
  <c r="DK92" i="1" s="1"/>
  <c r="DK91" i="1" s="1"/>
  <c r="DK90" i="1" s="1"/>
  <c r="DK89" i="1" s="1"/>
  <c r="DK88" i="1" s="1"/>
  <c r="DK87" i="1" s="1"/>
  <c r="R61" i="1"/>
  <c r="AY86" i="1"/>
  <c r="R55" i="1"/>
  <c r="AX88" i="1"/>
  <c r="Q57" i="1"/>
  <c r="AX66" i="1"/>
  <c r="Q35" i="1"/>
  <c r="AX82" i="1"/>
  <c r="Q51" i="1"/>
  <c r="AX71" i="1"/>
  <c r="Q40" i="1"/>
  <c r="AX91" i="1"/>
  <c r="Q60" i="1"/>
  <c r="AX79" i="1"/>
  <c r="Q48" i="1"/>
  <c r="AW83" i="1"/>
  <c r="P52" i="1"/>
  <c r="AX90" i="1"/>
  <c r="Q59" i="1"/>
  <c r="AW70" i="1"/>
  <c r="P39" i="1"/>
  <c r="AX78" i="1"/>
  <c r="Q47" i="1"/>
  <c r="AY75" i="1"/>
  <c r="R44" i="1"/>
  <c r="AZ93" i="1"/>
  <c r="S62" i="1"/>
  <c r="AW87" i="1"/>
  <c r="P56" i="1"/>
  <c r="AY73" i="1"/>
  <c r="R42" i="1"/>
  <c r="AY67" i="1"/>
  <c r="R36" i="1"/>
  <c r="AY84" i="1"/>
  <c r="R53" i="1"/>
  <c r="AX65" i="1"/>
  <c r="Q34" i="1"/>
  <c r="AY80" i="1"/>
  <c r="R49" i="1"/>
  <c r="AX81" i="1"/>
  <c r="Q50" i="1"/>
  <c r="AX69" i="1"/>
  <c r="Q38" i="1"/>
  <c r="AX77" i="1"/>
  <c r="Q46" i="1"/>
  <c r="AX89" i="1"/>
  <c r="Q58" i="1"/>
  <c r="AY72" i="1"/>
  <c r="R41" i="1"/>
  <c r="AX74" i="1"/>
  <c r="Q43" i="1"/>
  <c r="AY85" i="1"/>
  <c r="R54" i="1"/>
  <c r="AY68" i="1"/>
  <c r="R37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AX76" i="1"/>
  <c r="Q45" i="1"/>
  <c r="AX64" i="1"/>
  <c r="Q33" i="1"/>
  <c r="DK86" i="1" l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AX80" i="1"/>
  <c r="Q49" i="1"/>
  <c r="AW78" i="1"/>
  <c r="P47" i="1"/>
  <c r="AW79" i="1"/>
  <c r="P48" i="1"/>
  <c r="AW66" i="1"/>
  <c r="P35" i="1"/>
  <c r="AW89" i="1"/>
  <c r="P58" i="1"/>
  <c r="AX85" i="1"/>
  <c r="Q54" i="1"/>
  <c r="AW77" i="1"/>
  <c r="P46" i="1"/>
  <c r="AW65" i="1"/>
  <c r="P34" i="1"/>
  <c r="AV87" i="1"/>
  <c r="O56" i="1"/>
  <c r="AV70" i="1"/>
  <c r="O39" i="1"/>
  <c r="AW91" i="1"/>
  <c r="P60" i="1"/>
  <c r="AW88" i="1"/>
  <c r="P57" i="1"/>
  <c r="AX73" i="1"/>
  <c r="Q42" i="1"/>
  <c r="AW64" i="1"/>
  <c r="P33" i="1"/>
  <c r="AW76" i="1"/>
  <c r="P45" i="1"/>
  <c r="AW74" i="1"/>
  <c r="P43" i="1"/>
  <c r="AW69" i="1"/>
  <c r="P38" i="1"/>
  <c r="AX84" i="1"/>
  <c r="Q53" i="1"/>
  <c r="AY93" i="1"/>
  <c r="R62" i="1"/>
  <c r="AW90" i="1"/>
  <c r="P59" i="1"/>
  <c r="AW71" i="1"/>
  <c r="P40" i="1"/>
  <c r="AX86" i="1"/>
  <c r="Q55" i="1"/>
  <c r="AX68" i="1"/>
  <c r="Q37" i="1"/>
  <c r="AX72" i="1"/>
  <c r="Q41" i="1"/>
  <c r="AW81" i="1"/>
  <c r="P50" i="1"/>
  <c r="AX67" i="1"/>
  <c r="Q36" i="1"/>
  <c r="AX75" i="1"/>
  <c r="Q44" i="1"/>
  <c r="AV83" i="1"/>
  <c r="O52" i="1"/>
  <c r="AW82" i="1"/>
  <c r="P51" i="1"/>
  <c r="AX92" i="1"/>
  <c r="DJ92" i="1" s="1"/>
  <c r="DJ91" i="1" s="1"/>
  <c r="DJ90" i="1" s="1"/>
  <c r="DJ89" i="1" s="1"/>
  <c r="DJ88" i="1" s="1"/>
  <c r="DJ87" i="1" s="1"/>
  <c r="DJ86" i="1" s="1"/>
  <c r="Q61" i="1"/>
  <c r="AV66" i="1" l="1"/>
  <c r="O35" i="1"/>
  <c r="AW75" i="1"/>
  <c r="P44" i="1"/>
  <c r="AV77" i="1"/>
  <c r="O46" i="1"/>
  <c r="AV76" i="1"/>
  <c r="O45" i="1"/>
  <c r="AV79" i="1"/>
  <c r="O48" i="1"/>
  <c r="AW68" i="1"/>
  <c r="P37" i="1"/>
  <c r="AW67" i="1"/>
  <c r="P36" i="1"/>
  <c r="AW86" i="1"/>
  <c r="P55" i="1"/>
  <c r="AW84" i="1"/>
  <c r="P53" i="1"/>
  <c r="AV64" i="1"/>
  <c r="O33" i="1"/>
  <c r="AU70" i="1"/>
  <c r="N39" i="1"/>
  <c r="AW85" i="1"/>
  <c r="P54" i="1"/>
  <c r="AV91" i="1"/>
  <c r="O60" i="1"/>
  <c r="DJ85" i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AV78" i="1"/>
  <c r="O47" i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K64" i="1"/>
  <c r="AW92" i="1"/>
  <c r="DI92" i="1" s="1"/>
  <c r="DI91" i="1" s="1"/>
  <c r="DI90" i="1" s="1"/>
  <c r="DI89" i="1" s="1"/>
  <c r="DI88" i="1" s="1"/>
  <c r="DI87" i="1" s="1"/>
  <c r="DI86" i="1" s="1"/>
  <c r="DI85" i="1" s="1"/>
  <c r="P61" i="1"/>
  <c r="AV81" i="1"/>
  <c r="O50" i="1"/>
  <c r="AV69" i="1"/>
  <c r="O38" i="1"/>
  <c r="AW73" i="1"/>
  <c r="P42" i="1"/>
  <c r="AU87" i="1"/>
  <c r="N56" i="1"/>
  <c r="AV89" i="1"/>
  <c r="O58" i="1"/>
  <c r="AX93" i="1"/>
  <c r="Q62" i="1"/>
  <c r="AV82" i="1"/>
  <c r="O51" i="1"/>
  <c r="AW80" i="1"/>
  <c r="P49" i="1"/>
  <c r="AV71" i="1"/>
  <c r="O40" i="1"/>
  <c r="AU83" i="1"/>
  <c r="N52" i="1"/>
  <c r="AW72" i="1"/>
  <c r="P41" i="1"/>
  <c r="AV90" i="1"/>
  <c r="O59" i="1"/>
  <c r="AV74" i="1"/>
  <c r="O43" i="1"/>
  <c r="AV88" i="1"/>
  <c r="O57" i="1"/>
  <c r="AV65" i="1"/>
  <c r="O34" i="1"/>
  <c r="DI84" i="1" l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AV86" i="1"/>
  <c r="O55" i="1"/>
  <c r="AU76" i="1"/>
  <c r="N45" i="1"/>
  <c r="AV72" i="1"/>
  <c r="O41" i="1"/>
  <c r="AV73" i="1"/>
  <c r="O42" i="1"/>
  <c r="AU77" i="1"/>
  <c r="N46" i="1"/>
  <c r="AU88" i="1"/>
  <c r="N57" i="1"/>
  <c r="AU69" i="1"/>
  <c r="N38" i="1"/>
  <c r="AU78" i="1"/>
  <c r="N47" i="1"/>
  <c r="AV85" i="1"/>
  <c r="O54" i="1"/>
  <c r="AU82" i="1"/>
  <c r="N51" i="1"/>
  <c r="AV67" i="1"/>
  <c r="O36" i="1"/>
  <c r="AU64" i="1"/>
  <c r="N33" i="1"/>
  <c r="AV68" i="1"/>
  <c r="O37" i="1"/>
  <c r="AV75" i="1"/>
  <c r="O44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DJ64" i="1"/>
  <c r="AU65" i="1"/>
  <c r="N34" i="1"/>
  <c r="AT70" i="1"/>
  <c r="M39" i="1"/>
  <c r="AT83" i="1"/>
  <c r="M52" i="1"/>
  <c r="AU74" i="1"/>
  <c r="N43" i="1"/>
  <c r="AU71" i="1"/>
  <c r="N40" i="1"/>
  <c r="AU89" i="1"/>
  <c r="N58" i="1"/>
  <c r="AU81" i="1"/>
  <c r="N50" i="1"/>
  <c r="AU91" i="1"/>
  <c r="N60" i="1"/>
  <c r="AV84" i="1"/>
  <c r="O53" i="1"/>
  <c r="AU79" i="1"/>
  <c r="N48" i="1"/>
  <c r="AU66" i="1"/>
  <c r="N35" i="1"/>
  <c r="AW93" i="1"/>
  <c r="P62" i="1"/>
  <c r="AU90" i="1"/>
  <c r="N59" i="1"/>
  <c r="AV80" i="1"/>
  <c r="O49" i="1"/>
  <c r="AT87" i="1"/>
  <c r="M56" i="1"/>
  <c r="AV92" i="1"/>
  <c r="DH92" i="1" s="1"/>
  <c r="DH91" i="1" s="1"/>
  <c r="DH90" i="1" s="1"/>
  <c r="DH89" i="1" s="1"/>
  <c r="DH88" i="1" s="1"/>
  <c r="DH87" i="1" s="1"/>
  <c r="O61" i="1"/>
  <c r="DI64" i="1" l="1"/>
  <c r="DH86" i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AT74" i="1"/>
  <c r="M43" i="1"/>
  <c r="AU67" i="1"/>
  <c r="N36" i="1"/>
  <c r="AT69" i="1"/>
  <c r="M38" i="1"/>
  <c r="AU72" i="1"/>
  <c r="N41" i="1"/>
  <c r="AT91" i="1"/>
  <c r="M60" i="1"/>
  <c r="AT66" i="1"/>
  <c r="M35" i="1"/>
  <c r="AT81" i="1"/>
  <c r="M50" i="1"/>
  <c r="AS83" i="1"/>
  <c r="L52" i="1"/>
  <c r="AU75" i="1"/>
  <c r="N44" i="1"/>
  <c r="AT82" i="1"/>
  <c r="M51" i="1"/>
  <c r="AT88" i="1"/>
  <c r="M57" i="1"/>
  <c r="AU92" i="1"/>
  <c r="DG92" i="1" s="1"/>
  <c r="DG91" i="1" s="1"/>
  <c r="DG90" i="1" s="1"/>
  <c r="DG89" i="1" s="1"/>
  <c r="DG88" i="1" s="1"/>
  <c r="DG87" i="1" s="1"/>
  <c r="N61" i="1"/>
  <c r="AT79" i="1"/>
  <c r="M48" i="1"/>
  <c r="AT89" i="1"/>
  <c r="M58" i="1"/>
  <c r="AS70" i="1"/>
  <c r="L39" i="1"/>
  <c r="AU68" i="1"/>
  <c r="N37" i="1"/>
  <c r="AU85" i="1"/>
  <c r="N54" i="1"/>
  <c r="AT77" i="1"/>
  <c r="M46" i="1"/>
  <c r="AT76" i="1"/>
  <c r="M45" i="1"/>
  <c r="AV93" i="1"/>
  <c r="O62" i="1"/>
  <c r="AS87" i="1"/>
  <c r="L56" i="1"/>
  <c r="AT90" i="1"/>
  <c r="M59" i="1"/>
  <c r="AU84" i="1"/>
  <c r="N53" i="1"/>
  <c r="AT71" i="1"/>
  <c r="M40" i="1"/>
  <c r="AT65" i="1"/>
  <c r="M34" i="1"/>
  <c r="AT64" i="1"/>
  <c r="M33" i="1"/>
  <c r="AT78" i="1"/>
  <c r="M47" i="1"/>
  <c r="AU73" i="1"/>
  <c r="N42" i="1"/>
  <c r="AU86" i="1"/>
  <c r="N55" i="1"/>
  <c r="AU80" i="1"/>
  <c r="N49" i="1"/>
  <c r="DH64" i="1" l="1"/>
  <c r="DG86" i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AT72" i="1"/>
  <c r="M41" i="1"/>
  <c r="AS88" i="1"/>
  <c r="L57" i="1"/>
  <c r="AS77" i="1"/>
  <c r="L46" i="1"/>
  <c r="AS89" i="1"/>
  <c r="L58" i="1"/>
  <c r="AS82" i="1"/>
  <c r="L51" i="1"/>
  <c r="AS66" i="1"/>
  <c r="L35" i="1"/>
  <c r="AS69" i="1"/>
  <c r="L38" i="1"/>
  <c r="AT84" i="1"/>
  <c r="M53" i="1"/>
  <c r="AS81" i="1"/>
  <c r="L50" i="1"/>
  <c r="AS64" i="1"/>
  <c r="L33" i="1"/>
  <c r="AS76" i="1"/>
  <c r="L45" i="1"/>
  <c r="AT80" i="1"/>
  <c r="M49" i="1"/>
  <c r="AT86" i="1"/>
  <c r="M55" i="1"/>
  <c r="AS65" i="1"/>
  <c r="L34" i="1"/>
  <c r="AR87" i="1"/>
  <c r="K56" i="1"/>
  <c r="AT85" i="1"/>
  <c r="M54" i="1"/>
  <c r="AS79" i="1"/>
  <c r="L48" i="1"/>
  <c r="AT75" i="1"/>
  <c r="M44" i="1"/>
  <c r="AS91" i="1"/>
  <c r="L60" i="1"/>
  <c r="AT67" i="1"/>
  <c r="M36" i="1"/>
  <c r="AS78" i="1"/>
  <c r="L47" i="1"/>
  <c r="AR70" i="1"/>
  <c r="K39" i="1"/>
  <c r="AS90" i="1"/>
  <c r="L59" i="1"/>
  <c r="AT73" i="1"/>
  <c r="M42" i="1"/>
  <c r="AS71" i="1"/>
  <c r="L40" i="1"/>
  <c r="AU93" i="1"/>
  <c r="N62" i="1"/>
  <c r="AT68" i="1"/>
  <c r="M37" i="1"/>
  <c r="AT92" i="1"/>
  <c r="DF92" i="1" s="1"/>
  <c r="DF91" i="1" s="1"/>
  <c r="DF90" i="1" s="1"/>
  <c r="DF89" i="1" s="1"/>
  <c r="DF88" i="1" s="1"/>
  <c r="DF87" i="1" s="1"/>
  <c r="M61" i="1"/>
  <c r="AR83" i="1"/>
  <c r="K52" i="1"/>
  <c r="AS74" i="1"/>
  <c r="L43" i="1"/>
  <c r="DF86" i="1" l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DG64" i="1"/>
  <c r="AR90" i="1"/>
  <c r="K59" i="1"/>
  <c r="AS80" i="1"/>
  <c r="L49" i="1"/>
  <c r="AS84" i="1"/>
  <c r="L53" i="1"/>
  <c r="AR89" i="1"/>
  <c r="K58" i="1"/>
  <c r="AS85" i="1"/>
  <c r="L54" i="1"/>
  <c r="AR74" i="1"/>
  <c r="K43" i="1"/>
  <c r="AQ70" i="1"/>
  <c r="J39" i="1"/>
  <c r="AR91" i="1"/>
  <c r="K60" i="1"/>
  <c r="AQ87" i="1"/>
  <c r="J56" i="1"/>
  <c r="AR76" i="1"/>
  <c r="K45" i="1"/>
  <c r="AR69" i="1"/>
  <c r="K38" i="1"/>
  <c r="AR77" i="1"/>
  <c r="K46" i="1"/>
  <c r="AT93" i="1"/>
  <c r="M62" i="1"/>
  <c r="AS68" i="1"/>
  <c r="L37" i="1"/>
  <c r="AR71" i="1"/>
  <c r="K40" i="1"/>
  <c r="AS75" i="1"/>
  <c r="L44" i="1"/>
  <c r="AR65" i="1"/>
  <c r="K34" i="1"/>
  <c r="AR64" i="1"/>
  <c r="K33" i="1"/>
  <c r="AR66" i="1"/>
  <c r="K35" i="1"/>
  <c r="AR88" i="1"/>
  <c r="K57" i="1"/>
  <c r="AS67" i="1"/>
  <c r="L36" i="1"/>
  <c r="AQ83" i="1"/>
  <c r="J52" i="1"/>
  <c r="AS92" i="1"/>
  <c r="DE92" i="1" s="1"/>
  <c r="DE91" i="1" s="1"/>
  <c r="DE90" i="1" s="1"/>
  <c r="DE89" i="1" s="1"/>
  <c r="DE88" i="1" s="1"/>
  <c r="DE87" i="1" s="1"/>
  <c r="DE86" i="1" s="1"/>
  <c r="L61" i="1"/>
  <c r="AS73" i="1"/>
  <c r="L42" i="1"/>
  <c r="AR78" i="1"/>
  <c r="K47" i="1"/>
  <c r="AR79" i="1"/>
  <c r="K48" i="1"/>
  <c r="AS86" i="1"/>
  <c r="L55" i="1"/>
  <c r="AR81" i="1"/>
  <c r="K50" i="1"/>
  <c r="AR82" i="1"/>
  <c r="K51" i="1"/>
  <c r="AS72" i="1"/>
  <c r="L41" i="1"/>
  <c r="AR92" i="1" l="1"/>
  <c r="DD92" i="1" s="1"/>
  <c r="DD91" i="1" s="1"/>
  <c r="DD90" i="1" s="1"/>
  <c r="DD89" i="1" s="1"/>
  <c r="DD88" i="1" s="1"/>
  <c r="DD87" i="1" s="1"/>
  <c r="K61" i="1"/>
  <c r="AQ89" i="1"/>
  <c r="J58" i="1"/>
  <c r="AP70" i="1"/>
  <c r="I39" i="1"/>
  <c r="AQ66" i="1"/>
  <c r="J35" i="1"/>
  <c r="AP83" i="1"/>
  <c r="I52" i="1"/>
  <c r="AR68" i="1"/>
  <c r="K37" i="1"/>
  <c r="AR84" i="1"/>
  <c r="K53" i="1"/>
  <c r="AR86" i="1"/>
  <c r="K55" i="1"/>
  <c r="AQ79" i="1"/>
  <c r="J48" i="1"/>
  <c r="AQ64" i="1"/>
  <c r="J33" i="1"/>
  <c r="AQ76" i="1"/>
  <c r="J45" i="1"/>
  <c r="AQ74" i="1"/>
  <c r="J43" i="1"/>
  <c r="AR72" i="1"/>
  <c r="K41" i="1"/>
  <c r="AQ78" i="1"/>
  <c r="J47" i="1"/>
  <c r="AR67" i="1"/>
  <c r="K36" i="1"/>
  <c r="AQ65" i="1"/>
  <c r="J34" i="1"/>
  <c r="AS93" i="1"/>
  <c r="L62" i="1"/>
  <c r="AR80" i="1"/>
  <c r="K49" i="1"/>
  <c r="AP87" i="1"/>
  <c r="I56" i="1"/>
  <c r="AR85" i="1"/>
  <c r="K54" i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DF64" i="1"/>
  <c r="DE85" i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AQ90" i="1"/>
  <c r="J59" i="1"/>
  <c r="AQ71" i="1"/>
  <c r="J40" i="1"/>
  <c r="AQ69" i="1"/>
  <c r="J38" i="1"/>
  <c r="AQ82" i="1"/>
  <c r="J51" i="1"/>
  <c r="AQ81" i="1"/>
  <c r="J50" i="1"/>
  <c r="AR73" i="1"/>
  <c r="K42" i="1"/>
  <c r="AQ88" i="1"/>
  <c r="J57" i="1"/>
  <c r="AR75" i="1"/>
  <c r="K44" i="1"/>
  <c r="AQ77" i="1"/>
  <c r="J46" i="1"/>
  <c r="AQ91" i="1"/>
  <c r="J60" i="1"/>
  <c r="AP65" i="1" l="1"/>
  <c r="I34" i="1"/>
  <c r="AP74" i="1"/>
  <c r="I43" i="1"/>
  <c r="AQ86" i="1"/>
  <c r="J55" i="1"/>
  <c r="AP66" i="1"/>
  <c r="I35" i="1"/>
  <c r="AP88" i="1"/>
  <c r="I57" i="1"/>
  <c r="AO87" i="1"/>
  <c r="H56" i="1"/>
  <c r="AQ67" i="1"/>
  <c r="J36" i="1"/>
  <c r="AP76" i="1"/>
  <c r="I45" i="1"/>
  <c r="AQ84" i="1"/>
  <c r="J53" i="1"/>
  <c r="AO70" i="1"/>
  <c r="H39" i="1"/>
  <c r="AP91" i="1"/>
  <c r="I60" i="1"/>
  <c r="AP71" i="1"/>
  <c r="I40" i="1"/>
  <c r="AP77" i="1"/>
  <c r="I46" i="1"/>
  <c r="AP81" i="1"/>
  <c r="I50" i="1"/>
  <c r="AP90" i="1"/>
  <c r="I59" i="1"/>
  <c r="AQ85" i="1"/>
  <c r="J54" i="1"/>
  <c r="AQ73" i="1"/>
  <c r="J42" i="1"/>
  <c r="AQ80" i="1"/>
  <c r="J49" i="1"/>
  <c r="AP78" i="1"/>
  <c r="I47" i="1"/>
  <c r="AP64" i="1"/>
  <c r="I33" i="1"/>
  <c r="AQ68" i="1"/>
  <c r="J37" i="1"/>
  <c r="AP89" i="1"/>
  <c r="I58" i="1"/>
  <c r="AP69" i="1"/>
  <c r="I38" i="1"/>
  <c r="AQ75" i="1"/>
  <c r="J44" i="1"/>
  <c r="AP82" i="1"/>
  <c r="I51" i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DE64" i="1"/>
  <c r="AR93" i="1"/>
  <c r="K62" i="1"/>
  <c r="AQ72" i="1"/>
  <c r="J41" i="1"/>
  <c r="AP79" i="1"/>
  <c r="I48" i="1"/>
  <c r="AO83" i="1"/>
  <c r="H52" i="1"/>
  <c r="AQ92" i="1"/>
  <c r="DC92" i="1" s="1"/>
  <c r="DC91" i="1" s="1"/>
  <c r="DC90" i="1" s="1"/>
  <c r="DC89" i="1" s="1"/>
  <c r="DC88" i="1" s="1"/>
  <c r="DC87" i="1" s="1"/>
  <c r="DC86" i="1" s="1"/>
  <c r="J61" i="1"/>
  <c r="DD86" i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DC85" i="1" l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AP72" i="1"/>
  <c r="I41" i="1"/>
  <c r="AP85" i="1"/>
  <c r="I54" i="1"/>
  <c r="AO71" i="1"/>
  <c r="H40" i="1"/>
  <c r="AO76" i="1"/>
  <c r="H45" i="1"/>
  <c r="AO66" i="1"/>
  <c r="H35" i="1"/>
  <c r="AO78" i="1"/>
  <c r="H47" i="1"/>
  <c r="AP86" i="1"/>
  <c r="I55" i="1"/>
  <c r="L64" i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DD64" i="1"/>
  <c r="AO69" i="1"/>
  <c r="H38" i="1"/>
  <c r="AP67" i="1"/>
  <c r="I36" i="1"/>
  <c r="AP75" i="1"/>
  <c r="I44" i="1"/>
  <c r="AP92" i="1"/>
  <c r="DB92" i="1" s="1"/>
  <c r="DB91" i="1" s="1"/>
  <c r="DB90" i="1" s="1"/>
  <c r="DB89" i="1" s="1"/>
  <c r="DB88" i="1" s="1"/>
  <c r="DB87" i="1" s="1"/>
  <c r="I61" i="1"/>
  <c r="AO91" i="1"/>
  <c r="H60" i="1"/>
  <c r="AN83" i="1"/>
  <c r="G52" i="1"/>
  <c r="AM83" i="1" s="1"/>
  <c r="AO89" i="1"/>
  <c r="H58" i="1"/>
  <c r="AP80" i="1"/>
  <c r="I49" i="1"/>
  <c r="AO81" i="1"/>
  <c r="H50" i="1"/>
  <c r="AN70" i="1"/>
  <c r="G39" i="1"/>
  <c r="AM70" i="1" s="1"/>
  <c r="AN87" i="1"/>
  <c r="G56" i="1"/>
  <c r="AM87" i="1" s="1"/>
  <c r="AO74" i="1"/>
  <c r="H43" i="1"/>
  <c r="AO79" i="1"/>
  <c r="H48" i="1"/>
  <c r="AO82" i="1"/>
  <c r="H51" i="1"/>
  <c r="AP68" i="1"/>
  <c r="I37" i="1"/>
  <c r="AP73" i="1"/>
  <c r="I42" i="1"/>
  <c r="AO77" i="1"/>
  <c r="H46" i="1"/>
  <c r="AP84" i="1"/>
  <c r="I53" i="1"/>
  <c r="AO88" i="1"/>
  <c r="H57" i="1"/>
  <c r="AO65" i="1"/>
  <c r="H34" i="1"/>
  <c r="AO64" i="1"/>
  <c r="H33" i="1"/>
  <c r="AQ93" i="1"/>
  <c r="J62" i="1"/>
  <c r="AO90" i="1"/>
  <c r="H59" i="1"/>
  <c r="DB86" i="1" l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DC64" i="1"/>
  <c r="AO68" i="1"/>
  <c r="H37" i="1"/>
  <c r="AO80" i="1"/>
  <c r="H49" i="1"/>
  <c r="AO92" i="1"/>
  <c r="DA92" i="1" s="1"/>
  <c r="DA91" i="1" s="1"/>
  <c r="DA90" i="1" s="1"/>
  <c r="DA89" i="1" s="1"/>
  <c r="DA88" i="1" s="1"/>
  <c r="DA87" i="1" s="1"/>
  <c r="H61" i="1"/>
  <c r="AN76" i="1"/>
  <c r="G45" i="1"/>
  <c r="AM76" i="1" s="1"/>
  <c r="AN90" i="1"/>
  <c r="G59" i="1"/>
  <c r="AM90" i="1" s="1"/>
  <c r="AN89" i="1"/>
  <c r="G58" i="1"/>
  <c r="AM89" i="1" s="1"/>
  <c r="AO86" i="1"/>
  <c r="H55" i="1"/>
  <c r="AN71" i="1"/>
  <c r="G40" i="1"/>
  <c r="AM71" i="1" s="1"/>
  <c r="AN82" i="1"/>
  <c r="G51" i="1"/>
  <c r="AM82" i="1" s="1"/>
  <c r="AO75" i="1"/>
  <c r="H44" i="1"/>
  <c r="AP93" i="1"/>
  <c r="I62" i="1"/>
  <c r="AO67" i="1"/>
  <c r="H36" i="1"/>
  <c r="AN78" i="1"/>
  <c r="G47" i="1"/>
  <c r="AM78" i="1" s="1"/>
  <c r="AO85" i="1"/>
  <c r="H54" i="1"/>
  <c r="AN88" i="1"/>
  <c r="G57" i="1"/>
  <c r="AM88" i="1" s="1"/>
  <c r="AN77" i="1"/>
  <c r="G46" i="1"/>
  <c r="AM77" i="1" s="1"/>
  <c r="AN74" i="1"/>
  <c r="G43" i="1"/>
  <c r="AM74" i="1" s="1"/>
  <c r="AO84" i="1"/>
  <c r="H53" i="1"/>
  <c r="AN64" i="1"/>
  <c r="G33" i="1"/>
  <c r="AM64" i="1" s="1"/>
  <c r="AN79" i="1"/>
  <c r="G48" i="1"/>
  <c r="AM79" i="1" s="1"/>
  <c r="AN65" i="1"/>
  <c r="G34" i="1"/>
  <c r="AM65" i="1" s="1"/>
  <c r="AO73" i="1"/>
  <c r="H42" i="1"/>
  <c r="AN81" i="1"/>
  <c r="G50" i="1"/>
  <c r="AM81" i="1" s="1"/>
  <c r="AN91" i="1"/>
  <c r="G60" i="1"/>
  <c r="AM91" i="1" s="1"/>
  <c r="AN69" i="1"/>
  <c r="G38" i="1"/>
  <c r="AM69" i="1" s="1"/>
  <c r="AN66" i="1"/>
  <c r="G35" i="1"/>
  <c r="AM66" i="1" s="1"/>
  <c r="AO72" i="1"/>
  <c r="H41" i="1"/>
  <c r="DB64" i="1" l="1"/>
  <c r="DA86" i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AO93" i="1"/>
  <c r="H62" i="1"/>
  <c r="AN73" i="1"/>
  <c r="G42" i="1"/>
  <c r="AM73" i="1" s="1"/>
  <c r="AN86" i="1"/>
  <c r="G55" i="1"/>
  <c r="AM86" i="1" s="1"/>
  <c r="AN92" i="1"/>
  <c r="CZ92" i="1" s="1"/>
  <c r="CZ91" i="1" s="1"/>
  <c r="CZ90" i="1" s="1"/>
  <c r="CZ89" i="1" s="1"/>
  <c r="CZ88" i="1" s="1"/>
  <c r="CZ87" i="1" s="1"/>
  <c r="G61" i="1"/>
  <c r="AM92" i="1" s="1"/>
  <c r="CY92" i="1" s="1"/>
  <c r="CY91" i="1" s="1"/>
  <c r="CY90" i="1" s="1"/>
  <c r="CY89" i="1" s="1"/>
  <c r="CY88" i="1" s="1"/>
  <c r="CY87" i="1" s="1"/>
  <c r="AN84" i="1"/>
  <c r="G53" i="1"/>
  <c r="AM84" i="1" s="1"/>
  <c r="AN75" i="1"/>
  <c r="G44" i="1"/>
  <c r="AM75" i="1" s="1"/>
  <c r="AN80" i="1"/>
  <c r="G49" i="1"/>
  <c r="AM80" i="1" s="1"/>
  <c r="AN85" i="1"/>
  <c r="G54" i="1"/>
  <c r="AM85" i="1" s="1"/>
  <c r="AN67" i="1"/>
  <c r="G36" i="1"/>
  <c r="AM67" i="1" s="1"/>
  <c r="AN68" i="1"/>
  <c r="G37" i="1"/>
  <c r="AM68" i="1" s="1"/>
  <c r="AN72" i="1"/>
  <c r="G41" i="1"/>
  <c r="AM72" i="1" s="1"/>
  <c r="CZ86" i="1" l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CY86" i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AN93" i="1"/>
  <c r="G62" i="1"/>
  <c r="AM93" i="1" s="1"/>
  <c r="I64" i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DA64" i="1"/>
  <c r="CZ64" i="1" l="1"/>
  <c r="CY64" i="1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<sst xmlns="http://schemas.openxmlformats.org/spreadsheetml/2006/main" count="29" uniqueCount="17">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</sst>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5" borderId="0" xfId="0" applyFill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5" fontId="0" fillId="7" borderId="1" xfId="0" applyNumberFormat="1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5" fontId="0" fillId="9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0" fontId="0" fillId="11" borderId="1" xfId="0" applyFill="1" applyBorder="1"/>
    <xf numFmtId="0" fontId="0" fillId="0" borderId="1" xfId="0" applyBorder="1"/>
    <xf numFmtId="0" fontId="0" fillId="0" borderId="0" xfId="0" applyFill="1"/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64" fontId="0" fillId="12" borderId="1" xfId="0" applyNumberForma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ряд1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0.0</c:formatCode>
                <c:ptCount val="30"/>
                <c:pt idx="0">
                  <c:v>300</c:v>
                </c:pt>
                <c:pt idx="1">
                  <c:v>287.1287964242664</c:v>
                </c:pt>
                <c:pt idx="2">
                  <c:v>274.3288285717307</c:v>
                </c:pt>
                <c:pt idx="3">
                  <c:v>261.67044111219025</c:v>
                </c:pt>
                <c:pt idx="4">
                  <c:v>249.22220970094287</c:v>
                </c:pt>
                <c:pt idx="5">
                  <c:v>237.05008892167643</c:v>
                </c:pt>
                <c:pt idx="6">
                  <c:v>225.21659839339407</c:v>
                </c:pt>
                <c:pt idx="7">
                  <c:v>213.78005849750144</c:v>
                </c:pt>
                <c:pt idx="8">
                  <c:v>202.79388615199716</c:v>
                </c:pt>
                <c:pt idx="9">
                  <c:v>192.30595983933091</c:v>
                </c:pt>
                <c:pt idx="10">
                  <c:v>182.35806172249528</c:v>
                </c:pt>
                <c:pt idx="11">
                  <c:v>172.9854032036119</c:v>
                </c:pt>
                <c:pt idx="12">
                  <c:v>164.21623873582917</c:v>
                </c:pt>
                <c:pt idx="13">
                  <c:v>156.07157113785962</c:v>
                </c:pt>
                <c:pt idx="14">
                  <c:v>148.56495012413902</c:v>
                </c:pt>
                <c:pt idx="15">
                  <c:v>141.70236429194324</c:v>
                </c:pt>
                <c:pt idx="16">
                  <c:v>135.48222543435213</c:v>
                </c:pt>
                <c:pt idx="17">
                  <c:v>129.89544280295908</c:v>
                </c:pt>
                <c:pt idx="18">
                  <c:v>124.92558384789987</c:v>
                </c:pt>
                <c:pt idx="19">
                  <c:v>120.54911702881199</c:v>
                </c:pt>
                <c:pt idx="20">
                  <c:v>116.73573152484609</c:v>
                </c:pt>
                <c:pt idx="21">
                  <c:v>113.44872807362287</c:v>
                </c:pt>
                <c:pt idx="22">
                  <c:v>110.64547473011828</c:v>
                </c:pt>
                <c:pt idx="23">
                  <c:v>108.27792104307866</c:v>
                </c:pt>
                <c:pt idx="24">
                  <c:v>106.29316398015968</c:v>
                </c:pt>
                <c:pt idx="25">
                  <c:v>104.63405887149921</c:v>
                </c:pt>
                <c:pt idx="26">
                  <c:v>103.23986866067884</c:v>
                </c:pt>
                <c:pt idx="27">
                  <c:v>102.04694482705142</c:v>
                </c:pt>
                <c:pt idx="28">
                  <c:v>100.98943344986182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9856"/>
        <c:axId val="441367896"/>
      </c:scatterChart>
      <c:valAx>
        <c:axId val="44136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7896"/>
        <c:crosses val="autoZero"/>
        <c:crossBetween val="midCat"/>
      </c:valAx>
      <c:valAx>
        <c:axId val="44136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8288"/>
        <c:axId val="441369072"/>
      </c:scatterChart>
      <c:valAx>
        <c:axId val="4413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9072"/>
        <c:crosses val="autoZero"/>
        <c:crossBetween val="midCat"/>
      </c:valAx>
      <c:valAx>
        <c:axId val="44136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/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/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/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/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/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/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/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/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/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/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/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/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/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/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/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17</xdr:row>
      <xdr:rowOff>170088</xdr:rowOff>
    </xdr:from>
    <xdr:to>
      <xdr:col>9</xdr:col>
      <xdr:colOff>310242</xdr:colOff>
      <xdr:row>34</xdr:row>
      <xdr:rowOff>106135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122466</xdr:colOff>
      <xdr:row>17</xdr:row>
      <xdr:rowOff>163286</xdr:rowOff>
    </xdr:from>
    <xdr:ext cx="471005" cy="339864"/>
    <xdr:sp macro="" textlink="">
      <xdr:nvSpPr>
        <xdr:cNvPr id="4" name="TextBox 3"/>
        <xdr:cNvSpPr txBox="1"/>
      </xdr:nvSpPr>
      <xdr:spPr>
        <a:xfrm>
          <a:off x="732066" y="3309257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 i="1"/>
            <a:t>T,[C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  <xdr:oneCellAnchor>
    <xdr:from>
      <xdr:col>8</xdr:col>
      <xdr:colOff>506185</xdr:colOff>
      <xdr:row>34</xdr:row>
      <xdr:rowOff>65315</xdr:rowOff>
    </xdr:from>
    <xdr:ext cx="705679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5382985" y="635725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5382985" y="635725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4"/>
  <sheetViews>
    <sheetView tabSelected="1" zoomScale="70" zoomScaleNormal="70" workbookViewId="0">
      <selection activeCell="B54" sqref="B54"/>
    </sheetView>
  </sheetViews>
  <sheetFormatPr defaultRowHeight="14.4" x14ac:dyDescent="0.3"/>
  <cols>
    <col min="1" max="1" width="15" customWidth="1"/>
    <col min="3" max="3" width="9.5546875" bestFit="1" customWidth="1"/>
  </cols>
  <sheetData>
    <row r="1" spans="1:36" x14ac:dyDescent="0.3">
      <c r="E1" s="3"/>
      <c r="F1" s="6">
        <v>1</v>
      </c>
      <c r="G1" s="2">
        <v>2</v>
      </c>
      <c r="H1" s="2">
        <v>3</v>
      </c>
      <c r="I1" s="2">
        <v>4</v>
      </c>
      <c r="J1" s="2">
        <v>5</v>
      </c>
      <c r="K1" s="2">
        <v>6</v>
      </c>
      <c r="L1" s="2">
        <v>7</v>
      </c>
      <c r="M1" s="2">
        <v>8</v>
      </c>
      <c r="N1" s="2">
        <v>9</v>
      </c>
      <c r="O1" s="2">
        <v>10</v>
      </c>
      <c r="P1" s="2">
        <v>11</v>
      </c>
      <c r="Q1" s="2">
        <v>12</v>
      </c>
      <c r="R1" s="2">
        <v>13</v>
      </c>
      <c r="S1" s="2">
        <v>14</v>
      </c>
      <c r="T1" s="2">
        <v>15</v>
      </c>
      <c r="U1" s="2">
        <v>16</v>
      </c>
      <c r="V1" s="2">
        <v>17</v>
      </c>
      <c r="W1" s="2">
        <v>18</v>
      </c>
      <c r="X1" s="2">
        <v>19</v>
      </c>
      <c r="Y1" s="2">
        <v>20</v>
      </c>
      <c r="Z1" s="2">
        <v>21</v>
      </c>
      <c r="AA1" s="2">
        <v>22</v>
      </c>
      <c r="AB1" s="2">
        <v>23</v>
      </c>
      <c r="AC1" s="2">
        <v>24</v>
      </c>
      <c r="AD1" s="2">
        <v>25</v>
      </c>
      <c r="AE1" s="2">
        <v>26</v>
      </c>
      <c r="AF1" s="2">
        <v>27</v>
      </c>
      <c r="AG1" s="2">
        <v>28</v>
      </c>
      <c r="AH1" s="2">
        <v>29</v>
      </c>
      <c r="AI1" s="6">
        <v>30</v>
      </c>
      <c r="AJ1" s="3"/>
    </row>
    <row r="2" spans="1:36" x14ac:dyDescent="0.3">
      <c r="A2" s="21"/>
      <c r="B2" s="22" t="s">
        <v>0</v>
      </c>
      <c r="C2" s="22">
        <v>0.1</v>
      </c>
      <c r="E2" s="8">
        <f>C2</f>
        <v>0.1</v>
      </c>
      <c r="F2" s="4">
        <f>$C$13</f>
        <v>300</v>
      </c>
      <c r="G2" s="7">
        <v>287.12879642426623</v>
      </c>
      <c r="H2" s="7">
        <v>274.32882857173036</v>
      </c>
      <c r="I2" s="7">
        <v>261.67044111218991</v>
      </c>
      <c r="J2" s="7">
        <v>249.22220970094253</v>
      </c>
      <c r="K2" s="7">
        <v>237.05008892167606</v>
      </c>
      <c r="L2" s="7">
        <v>225.21659839339367</v>
      </c>
      <c r="M2" s="7">
        <v>213.78005849750093</v>
      </c>
      <c r="N2" s="7">
        <v>202.79388615199673</v>
      </c>
      <c r="O2" s="7">
        <v>192.30595983933051</v>
      </c>
      <c r="P2" s="7">
        <v>182.35806172249482</v>
      </c>
      <c r="Q2" s="7">
        <v>172.9854032036115</v>
      </c>
      <c r="R2" s="7">
        <v>164.21623873582874</v>
      </c>
      <c r="S2" s="7">
        <v>156.07157113785914</v>
      </c>
      <c r="T2" s="7">
        <v>148.56495012413856</v>
      </c>
      <c r="U2" s="7">
        <v>141.70236429194279</v>
      </c>
      <c r="V2" s="7">
        <v>135.48222543435173</v>
      </c>
      <c r="W2" s="7">
        <v>129.89544280295868</v>
      </c>
      <c r="X2" s="7">
        <v>124.92558384789947</v>
      </c>
      <c r="Y2" s="7">
        <v>120.54911702881162</v>
      </c>
      <c r="Z2" s="7">
        <v>116.73573152484579</v>
      </c>
      <c r="AA2" s="7">
        <v>113.44872807362259</v>
      </c>
      <c r="AB2" s="7">
        <v>110.64547473011801</v>
      </c>
      <c r="AC2" s="7">
        <v>108.27792104307841</v>
      </c>
      <c r="AD2" s="7">
        <v>106.29316398015945</v>
      </c>
      <c r="AE2" s="7">
        <v>104.63405887149898</v>
      </c>
      <c r="AF2" s="7">
        <v>103.23986866067867</v>
      </c>
      <c r="AG2" s="7">
        <v>102.04694482705129</v>
      </c>
      <c r="AH2" s="7">
        <v>100.98943344986174</v>
      </c>
      <c r="AI2" s="5">
        <f>$C$14</f>
        <v>100</v>
      </c>
      <c r="AJ2" s="3">
        <v>30</v>
      </c>
    </row>
    <row r="3" spans="1:36" x14ac:dyDescent="0.3">
      <c r="A3" s="21"/>
      <c r="B3" s="22" t="s">
        <v>1</v>
      </c>
      <c r="C3" s="22">
        <v>0.1</v>
      </c>
      <c r="E3" s="8">
        <f>E2-$C$5</f>
        <v>9.6551724137931033E-2</v>
      </c>
      <c r="F3" s="4">
        <f t="shared" ref="F3:F31" si="0">$C$13</f>
        <v>300</v>
      </c>
      <c r="G3" s="7">
        <v>287.12879642426623</v>
      </c>
      <c r="H3" s="7">
        <v>274.32882857173036</v>
      </c>
      <c r="I3" s="7">
        <v>261.67044111218991</v>
      </c>
      <c r="J3" s="7">
        <v>249.22220970094253</v>
      </c>
      <c r="K3" s="7">
        <v>237.05008892167609</v>
      </c>
      <c r="L3" s="7">
        <v>225.21659839339367</v>
      </c>
      <c r="M3" s="7">
        <v>213.78005849750093</v>
      </c>
      <c r="N3" s="7">
        <v>202.79388615199673</v>
      </c>
      <c r="O3" s="7">
        <v>192.30595983933051</v>
      </c>
      <c r="P3" s="7">
        <v>182.35806172249482</v>
      </c>
      <c r="Q3" s="7">
        <v>172.9854032036115</v>
      </c>
      <c r="R3" s="7">
        <v>164.21623873582874</v>
      </c>
      <c r="S3" s="7">
        <v>156.07157113785914</v>
      </c>
      <c r="T3" s="7">
        <v>148.56495012413856</v>
      </c>
      <c r="U3" s="7">
        <v>141.70236429194279</v>
      </c>
      <c r="V3" s="7">
        <v>135.48222543435173</v>
      </c>
      <c r="W3" s="7">
        <v>129.89544280295868</v>
      </c>
      <c r="X3" s="7">
        <v>124.92558384789947</v>
      </c>
      <c r="Y3" s="7">
        <v>120.54911702881162</v>
      </c>
      <c r="Z3" s="7">
        <v>116.73573152484579</v>
      </c>
      <c r="AA3" s="7">
        <v>113.44872807362259</v>
      </c>
      <c r="AB3" s="7">
        <v>110.64547473011801</v>
      </c>
      <c r="AC3" s="7">
        <v>108.27792104307841</v>
      </c>
      <c r="AD3" s="7">
        <v>106.29316398015945</v>
      </c>
      <c r="AE3" s="7">
        <v>104.63405887149898</v>
      </c>
      <c r="AF3" s="7">
        <v>103.23986866067867</v>
      </c>
      <c r="AG3" s="7">
        <v>102.04694482705129</v>
      </c>
      <c r="AH3" s="7">
        <v>100.98943344986174</v>
      </c>
      <c r="AI3" s="5">
        <f t="shared" ref="AI3:AI31" si="1">$C$14</f>
        <v>100</v>
      </c>
      <c r="AJ3" s="3">
        <v>29</v>
      </c>
    </row>
    <row r="4" spans="1:36" x14ac:dyDescent="0.3">
      <c r="A4" s="21"/>
      <c r="B4" s="22" t="s">
        <v>2</v>
      </c>
      <c r="C4" s="23">
        <f>C2/29</f>
        <v>3.4482758620689659E-3</v>
      </c>
      <c r="E4" s="8">
        <f t="shared" ref="E4:E30" si="2">E3-$C$5</f>
        <v>9.3103448275862061E-2</v>
      </c>
      <c r="F4" s="4">
        <f t="shared" si="0"/>
        <v>300</v>
      </c>
      <c r="G4" s="7">
        <v>287.12879642426623</v>
      </c>
      <c r="H4" s="7">
        <v>274.32882857173036</v>
      </c>
      <c r="I4" s="7">
        <v>261.67044111218991</v>
      </c>
      <c r="J4" s="7">
        <v>249.22220970094253</v>
      </c>
      <c r="K4" s="7">
        <v>237.05008892167609</v>
      </c>
      <c r="L4" s="7">
        <v>225.21659839339367</v>
      </c>
      <c r="M4" s="7">
        <v>213.78005849750093</v>
      </c>
      <c r="N4" s="7">
        <v>202.79388615199673</v>
      </c>
      <c r="O4" s="7">
        <v>192.30595983933051</v>
      </c>
      <c r="P4" s="7">
        <v>182.35806172249482</v>
      </c>
      <c r="Q4" s="7">
        <v>172.9854032036115</v>
      </c>
      <c r="R4" s="7">
        <v>164.21623873582874</v>
      </c>
      <c r="S4" s="7">
        <v>156.07157113785917</v>
      </c>
      <c r="T4" s="7">
        <v>148.56495012413856</v>
      </c>
      <c r="U4" s="7">
        <v>141.70236429194279</v>
      </c>
      <c r="V4" s="7">
        <v>135.48222543435173</v>
      </c>
      <c r="W4" s="7">
        <v>129.89544280295868</v>
      </c>
      <c r="X4" s="7">
        <v>124.92558384789947</v>
      </c>
      <c r="Y4" s="7">
        <v>120.54911702881162</v>
      </c>
      <c r="Z4" s="7">
        <v>116.73573152484579</v>
      </c>
      <c r="AA4" s="7">
        <v>113.44872807362259</v>
      </c>
      <c r="AB4" s="7">
        <v>110.64547473011801</v>
      </c>
      <c r="AC4" s="7">
        <v>108.27792104307841</v>
      </c>
      <c r="AD4" s="7">
        <v>106.29316398015945</v>
      </c>
      <c r="AE4" s="7">
        <v>104.63405887149898</v>
      </c>
      <c r="AF4" s="7">
        <v>103.23986866067867</v>
      </c>
      <c r="AG4" s="7">
        <v>102.04694482705129</v>
      </c>
      <c r="AH4" s="7">
        <v>100.98943344986174</v>
      </c>
      <c r="AI4" s="5">
        <f t="shared" si="1"/>
        <v>100</v>
      </c>
      <c r="AJ4" s="3">
        <v>28</v>
      </c>
    </row>
    <row r="5" spans="1:36" x14ac:dyDescent="0.3">
      <c r="A5" s="21"/>
      <c r="B5" s="22" t="s">
        <v>3</v>
      </c>
      <c r="C5" s="23">
        <f>C3/29</f>
        <v>3.4482758620689659E-3</v>
      </c>
      <c r="E5" s="8">
        <f t="shared" si="2"/>
        <v>8.9655172413793088E-2</v>
      </c>
      <c r="F5" s="4">
        <f t="shared" si="0"/>
        <v>300</v>
      </c>
      <c r="G5" s="7">
        <v>287.12879642426623</v>
      </c>
      <c r="H5" s="7">
        <v>274.32882857173036</v>
      </c>
      <c r="I5" s="7">
        <v>261.67044111218991</v>
      </c>
      <c r="J5" s="7">
        <v>249.22220970094253</v>
      </c>
      <c r="K5" s="7">
        <v>237.05008892167609</v>
      </c>
      <c r="L5" s="7">
        <v>225.21659839339367</v>
      </c>
      <c r="M5" s="7">
        <v>213.78005849750093</v>
      </c>
      <c r="N5" s="7">
        <v>202.79388615199673</v>
      </c>
      <c r="O5" s="7">
        <v>192.30595983933051</v>
      </c>
      <c r="P5" s="7">
        <v>182.35806172249482</v>
      </c>
      <c r="Q5" s="7">
        <v>172.9854032036115</v>
      </c>
      <c r="R5" s="7">
        <v>164.21623873582874</v>
      </c>
      <c r="S5" s="7">
        <v>156.07157113785919</v>
      </c>
      <c r="T5" s="7">
        <v>148.56495012413856</v>
      </c>
      <c r="U5" s="7">
        <v>141.70236429194279</v>
      </c>
      <c r="V5" s="7">
        <v>135.48222543435173</v>
      </c>
      <c r="W5" s="7">
        <v>129.89544280295868</v>
      </c>
      <c r="X5" s="7">
        <v>124.92558384789949</v>
      </c>
      <c r="Y5" s="7">
        <v>120.54911702881162</v>
      </c>
      <c r="Z5" s="7">
        <v>116.73573152484579</v>
      </c>
      <c r="AA5" s="7">
        <v>113.44872807362259</v>
      </c>
      <c r="AB5" s="7">
        <v>110.64547473011802</v>
      </c>
      <c r="AC5" s="7">
        <v>108.27792104307841</v>
      </c>
      <c r="AD5" s="7">
        <v>106.29316398015945</v>
      </c>
      <c r="AE5" s="7">
        <v>104.63405887149898</v>
      </c>
      <c r="AF5" s="7">
        <v>103.23986866067867</v>
      </c>
      <c r="AG5" s="7">
        <v>102.04694482705129</v>
      </c>
      <c r="AH5" s="7">
        <v>100.98943344986174</v>
      </c>
      <c r="AI5" s="5">
        <f t="shared" si="1"/>
        <v>100</v>
      </c>
      <c r="AJ5" s="3">
        <v>27</v>
      </c>
    </row>
    <row r="6" spans="1:36" x14ac:dyDescent="0.3">
      <c r="A6" s="21"/>
      <c r="B6" s="22" t="s">
        <v>4</v>
      </c>
      <c r="C6" s="22">
        <v>60</v>
      </c>
      <c r="D6">
        <v>61</v>
      </c>
      <c r="E6" s="8">
        <f t="shared" si="2"/>
        <v>8.6206896551724116E-2</v>
      </c>
      <c r="F6" s="4">
        <f t="shared" si="0"/>
        <v>300</v>
      </c>
      <c r="G6" s="7">
        <v>287.12879642426623</v>
      </c>
      <c r="H6" s="7">
        <v>274.32882857173036</v>
      </c>
      <c r="I6" s="7">
        <v>261.67044111218991</v>
      </c>
      <c r="J6" s="7">
        <v>249.22220970094253</v>
      </c>
      <c r="K6" s="7">
        <v>237.05008892167609</v>
      </c>
      <c r="L6" s="7">
        <v>225.21659839339367</v>
      </c>
      <c r="M6" s="7">
        <v>213.78005849750096</v>
      </c>
      <c r="N6" s="7">
        <v>202.79388615199673</v>
      </c>
      <c r="O6" s="7">
        <v>192.30595983933051</v>
      </c>
      <c r="P6" s="7">
        <v>182.35806172249482</v>
      </c>
      <c r="Q6" s="7">
        <v>172.9854032036115</v>
      </c>
      <c r="R6" s="7">
        <v>164.21623873582877</v>
      </c>
      <c r="S6" s="7">
        <v>156.07157113785922</v>
      </c>
      <c r="T6" s="7">
        <v>148.56495012413859</v>
      </c>
      <c r="U6" s="7">
        <v>141.70236429194281</v>
      </c>
      <c r="V6" s="7">
        <v>135.48222543435173</v>
      </c>
      <c r="W6" s="7">
        <v>129.89544280295868</v>
      </c>
      <c r="X6" s="7">
        <v>124.9255838478995</v>
      </c>
      <c r="Y6" s="7">
        <v>120.54911702881162</v>
      </c>
      <c r="Z6" s="7">
        <v>116.73573152484579</v>
      </c>
      <c r="AA6" s="7">
        <v>113.44872807362259</v>
      </c>
      <c r="AB6" s="7">
        <v>110.64547473011802</v>
      </c>
      <c r="AC6" s="7">
        <v>108.27792104307841</v>
      </c>
      <c r="AD6" s="7">
        <v>106.29316398015945</v>
      </c>
      <c r="AE6" s="7">
        <v>104.63405887149898</v>
      </c>
      <c r="AF6" s="7">
        <v>103.23986866067867</v>
      </c>
      <c r="AG6" s="7">
        <v>102.04694482705129</v>
      </c>
      <c r="AH6" s="7">
        <v>100.98943344986174</v>
      </c>
      <c r="AI6" s="5">
        <f t="shared" si="1"/>
        <v>100</v>
      </c>
      <c r="AJ6" s="3">
        <v>26</v>
      </c>
    </row>
    <row r="7" spans="1:36" x14ac:dyDescent="0.3">
      <c r="A7" s="21"/>
      <c r="B7" s="22" t="s">
        <v>5</v>
      </c>
      <c r="C7" s="22">
        <v>1</v>
      </c>
      <c r="E7" s="8">
        <f t="shared" si="2"/>
        <v>8.2758620689655144E-2</v>
      </c>
      <c r="F7" s="4">
        <f t="shared" si="0"/>
        <v>300</v>
      </c>
      <c r="G7" s="7">
        <v>287.12879642426623</v>
      </c>
      <c r="H7" s="7">
        <v>274.32882857173036</v>
      </c>
      <c r="I7" s="7">
        <v>261.67044111218991</v>
      </c>
      <c r="J7" s="7">
        <v>249.22220970094253</v>
      </c>
      <c r="K7" s="7">
        <v>237.05008892167609</v>
      </c>
      <c r="L7" s="7">
        <v>225.21659839339367</v>
      </c>
      <c r="M7" s="7">
        <v>213.78005849750099</v>
      </c>
      <c r="N7" s="7">
        <v>202.79388615199676</v>
      </c>
      <c r="O7" s="7">
        <v>192.30595983933051</v>
      </c>
      <c r="P7" s="7">
        <v>182.35806172249485</v>
      </c>
      <c r="Q7" s="7">
        <v>172.9854032036115</v>
      </c>
      <c r="R7" s="7">
        <v>164.21623873582877</v>
      </c>
      <c r="S7" s="7">
        <v>156.07157113785925</v>
      </c>
      <c r="T7" s="7">
        <v>148.56495012413862</v>
      </c>
      <c r="U7" s="7">
        <v>141.70236429194284</v>
      </c>
      <c r="V7" s="7">
        <v>135.48222543435176</v>
      </c>
      <c r="W7" s="7">
        <v>129.89544280295871</v>
      </c>
      <c r="X7" s="7">
        <v>124.92558384789953</v>
      </c>
      <c r="Y7" s="7">
        <v>120.54911702881165</v>
      </c>
      <c r="Z7" s="7">
        <v>116.73573152484579</v>
      </c>
      <c r="AA7" s="7">
        <v>113.44872807362262</v>
      </c>
      <c r="AB7" s="7">
        <v>110.64547473011802</v>
      </c>
      <c r="AC7" s="7">
        <v>108.27792104307842</v>
      </c>
      <c r="AD7" s="7">
        <v>106.29316398015946</v>
      </c>
      <c r="AE7" s="7">
        <v>104.63405887149901</v>
      </c>
      <c r="AF7" s="7">
        <v>103.23986866067868</v>
      </c>
      <c r="AG7" s="7">
        <v>102.04694482705129</v>
      </c>
      <c r="AH7" s="7">
        <v>100.98943344986174</v>
      </c>
      <c r="AI7" s="5">
        <f t="shared" si="1"/>
        <v>100</v>
      </c>
      <c r="AJ7" s="3">
        <v>25</v>
      </c>
    </row>
    <row r="8" spans="1:36" x14ac:dyDescent="0.3">
      <c r="B8" s="1"/>
      <c r="E8" s="8">
        <f t="shared" si="2"/>
        <v>7.9310344827586171E-2</v>
      </c>
      <c r="F8" s="4">
        <f t="shared" si="0"/>
        <v>300</v>
      </c>
      <c r="G8" s="7">
        <v>287.12879642426623</v>
      </c>
      <c r="H8" s="7">
        <v>274.32882857173036</v>
      </c>
      <c r="I8" s="7">
        <v>261.67044111218991</v>
      </c>
      <c r="J8" s="7">
        <v>249.22220970094256</v>
      </c>
      <c r="K8" s="7">
        <v>237.05008892167609</v>
      </c>
      <c r="L8" s="7">
        <v>225.21659839339367</v>
      </c>
      <c r="M8" s="7">
        <v>213.78005849750105</v>
      </c>
      <c r="N8" s="7">
        <v>202.79388615199679</v>
      </c>
      <c r="O8" s="7">
        <v>192.30595983933057</v>
      </c>
      <c r="P8" s="7">
        <v>182.35806172249491</v>
      </c>
      <c r="Q8" s="7">
        <v>172.98540320361155</v>
      </c>
      <c r="R8" s="7">
        <v>164.21623873582882</v>
      </c>
      <c r="S8" s="7">
        <v>156.07157113785928</v>
      </c>
      <c r="T8" s="7">
        <v>148.56495012413868</v>
      </c>
      <c r="U8" s="7">
        <v>141.7023642919429</v>
      </c>
      <c r="V8" s="7">
        <v>135.48222543435179</v>
      </c>
      <c r="W8" s="7">
        <v>129.89544280295877</v>
      </c>
      <c r="X8" s="7">
        <v>124.92558384789956</v>
      </c>
      <c r="Y8" s="7">
        <v>120.54911702881168</v>
      </c>
      <c r="Z8" s="7">
        <v>116.73573152484582</v>
      </c>
      <c r="AA8" s="7">
        <v>113.44872807362265</v>
      </c>
      <c r="AB8" s="7">
        <v>110.64547473011805</v>
      </c>
      <c r="AC8" s="7">
        <v>108.27792104307844</v>
      </c>
      <c r="AD8" s="7">
        <v>106.29316398015948</v>
      </c>
      <c r="AE8" s="7">
        <v>104.63405887149902</v>
      </c>
      <c r="AF8" s="7">
        <v>103.23986866067871</v>
      </c>
      <c r="AG8" s="7">
        <v>102.04694482705131</v>
      </c>
      <c r="AH8" s="7">
        <v>100.98943344986174</v>
      </c>
      <c r="AI8" s="5">
        <f t="shared" si="1"/>
        <v>100</v>
      </c>
      <c r="AJ8" s="3">
        <v>24</v>
      </c>
    </row>
    <row r="9" spans="1:36" x14ac:dyDescent="0.3">
      <c r="A9" s="19"/>
      <c r="B9" s="14" t="s">
        <v>6</v>
      </c>
      <c r="C9" s="14">
        <f>460</f>
        <v>460</v>
      </c>
      <c r="E9" s="8">
        <f t="shared" si="2"/>
        <v>7.5862068965517199E-2</v>
      </c>
      <c r="F9" s="4">
        <f t="shared" si="0"/>
        <v>300</v>
      </c>
      <c r="G9" s="7">
        <v>287.12879642426623</v>
      </c>
      <c r="H9" s="7">
        <v>274.32882857173041</v>
      </c>
      <c r="I9" s="7">
        <v>261.67044111218991</v>
      </c>
      <c r="J9" s="7">
        <v>249.22220970094259</v>
      </c>
      <c r="K9" s="7">
        <v>237.05008892167615</v>
      </c>
      <c r="L9" s="7">
        <v>225.2165983933937</v>
      </c>
      <c r="M9" s="7">
        <v>213.7800584975011</v>
      </c>
      <c r="N9" s="7">
        <v>202.79388615199684</v>
      </c>
      <c r="O9" s="7">
        <v>192.30595983933063</v>
      </c>
      <c r="P9" s="7">
        <v>182.35806172249494</v>
      </c>
      <c r="Q9" s="7">
        <v>172.98540320361161</v>
      </c>
      <c r="R9" s="7">
        <v>164.21623873582888</v>
      </c>
      <c r="S9" s="7">
        <v>156.07157113785934</v>
      </c>
      <c r="T9" s="7">
        <v>148.5649501241387</v>
      </c>
      <c r="U9" s="7">
        <v>141.70236429194293</v>
      </c>
      <c r="V9" s="7">
        <v>135.48222543435185</v>
      </c>
      <c r="W9" s="7">
        <v>129.8954428029588</v>
      </c>
      <c r="X9" s="7">
        <v>124.92558384789962</v>
      </c>
      <c r="Y9" s="7">
        <v>120.54911702881171</v>
      </c>
      <c r="Z9" s="7">
        <v>116.73573152484585</v>
      </c>
      <c r="AA9" s="7">
        <v>113.44872807362268</v>
      </c>
      <c r="AB9" s="7">
        <v>110.64547473011807</v>
      </c>
      <c r="AC9" s="7">
        <v>108.27792104307846</v>
      </c>
      <c r="AD9" s="7">
        <v>106.29316398015951</v>
      </c>
      <c r="AE9" s="7">
        <v>104.63405887149904</v>
      </c>
      <c r="AF9" s="7">
        <v>103.23986866067874</v>
      </c>
      <c r="AG9" s="7">
        <v>102.04694482705131</v>
      </c>
      <c r="AH9" s="7">
        <v>100.98943344986175</v>
      </c>
      <c r="AI9" s="5">
        <f t="shared" si="1"/>
        <v>100</v>
      </c>
      <c r="AJ9" s="3">
        <v>23</v>
      </c>
    </row>
    <row r="10" spans="1:36" x14ac:dyDescent="0.3">
      <c r="A10" s="19"/>
      <c r="B10" s="14" t="s">
        <v>7</v>
      </c>
      <c r="C10" s="14">
        <f>7800</f>
        <v>7800</v>
      </c>
      <c r="E10" s="8">
        <f t="shared" si="2"/>
        <v>7.2413793103448226E-2</v>
      </c>
      <c r="F10" s="4">
        <f t="shared" si="0"/>
        <v>300</v>
      </c>
      <c r="G10" s="7">
        <v>287.12879642426628</v>
      </c>
      <c r="H10" s="7">
        <v>274.32882857173047</v>
      </c>
      <c r="I10" s="7">
        <v>261.67044111218996</v>
      </c>
      <c r="J10" s="7">
        <v>249.22220970094264</v>
      </c>
      <c r="K10" s="7">
        <v>237.05008892167621</v>
      </c>
      <c r="L10" s="7">
        <v>225.21659839339378</v>
      </c>
      <c r="M10" s="7">
        <v>213.78005849750116</v>
      </c>
      <c r="N10" s="7">
        <v>202.7938861519969</v>
      </c>
      <c r="O10" s="7">
        <v>192.30595983933068</v>
      </c>
      <c r="P10" s="7">
        <v>182.35806172249499</v>
      </c>
      <c r="Q10" s="7">
        <v>172.98540320361167</v>
      </c>
      <c r="R10" s="7">
        <v>164.21623873582894</v>
      </c>
      <c r="S10" s="7">
        <v>156.07157113785939</v>
      </c>
      <c r="T10" s="7">
        <v>148.56495012413876</v>
      </c>
      <c r="U10" s="7">
        <v>141.70236429194298</v>
      </c>
      <c r="V10" s="7">
        <v>135.4822254343519</v>
      </c>
      <c r="W10" s="7">
        <v>129.89544280295883</v>
      </c>
      <c r="X10" s="7">
        <v>124.92558384789967</v>
      </c>
      <c r="Y10" s="7">
        <v>120.54911702881175</v>
      </c>
      <c r="Z10" s="7">
        <v>116.7357315248459</v>
      </c>
      <c r="AA10" s="7">
        <v>113.44872807362269</v>
      </c>
      <c r="AB10" s="7">
        <v>110.64547473011808</v>
      </c>
      <c r="AC10" s="7">
        <v>108.27792104307849</v>
      </c>
      <c r="AD10" s="7">
        <v>106.29316398015953</v>
      </c>
      <c r="AE10" s="7">
        <v>104.63405887149906</v>
      </c>
      <c r="AF10" s="7">
        <v>103.23986866067875</v>
      </c>
      <c r="AG10" s="7">
        <v>102.04694482705132</v>
      </c>
      <c r="AH10" s="7">
        <v>100.98943344986176</v>
      </c>
      <c r="AI10" s="5">
        <f t="shared" si="1"/>
        <v>100</v>
      </c>
      <c r="AJ10" s="3">
        <v>22</v>
      </c>
    </row>
    <row r="11" spans="1:36" x14ac:dyDescent="0.3">
      <c r="A11" s="19"/>
      <c r="B11" s="14" t="s">
        <v>8</v>
      </c>
      <c r="C11" s="14">
        <f>46</f>
        <v>46</v>
      </c>
      <c r="E11" s="8">
        <f t="shared" si="2"/>
        <v>6.8965517241379254E-2</v>
      </c>
      <c r="F11" s="4">
        <f t="shared" si="0"/>
        <v>300</v>
      </c>
      <c r="G11" s="7">
        <v>287.12879642426634</v>
      </c>
      <c r="H11" s="7">
        <v>274.32882857173058</v>
      </c>
      <c r="I11" s="7">
        <v>261.67044111219002</v>
      </c>
      <c r="J11" s="7">
        <v>249.22220970094273</v>
      </c>
      <c r="K11" s="7">
        <v>237.05008892167626</v>
      </c>
      <c r="L11" s="7">
        <v>225.21659839339387</v>
      </c>
      <c r="M11" s="7">
        <v>213.78005849750122</v>
      </c>
      <c r="N11" s="7">
        <v>202.79388615199699</v>
      </c>
      <c r="O11" s="7">
        <v>192.30595983933077</v>
      </c>
      <c r="P11" s="7">
        <v>182.35806172249508</v>
      </c>
      <c r="Q11" s="7">
        <v>172.98540320361178</v>
      </c>
      <c r="R11" s="7">
        <v>164.21623873582902</v>
      </c>
      <c r="S11" s="7">
        <v>156.07157113785945</v>
      </c>
      <c r="T11" s="7">
        <v>148.56495012413882</v>
      </c>
      <c r="U11" s="7">
        <v>141.70236429194304</v>
      </c>
      <c r="V11" s="7">
        <v>135.48222543435196</v>
      </c>
      <c r="W11" s="7">
        <v>129.89544280295888</v>
      </c>
      <c r="X11" s="7">
        <v>124.92558384789973</v>
      </c>
      <c r="Y11" s="7">
        <v>120.54911702881182</v>
      </c>
      <c r="Z11" s="7">
        <v>116.73573152484596</v>
      </c>
      <c r="AA11" s="7">
        <v>113.44872807362273</v>
      </c>
      <c r="AB11" s="7">
        <v>110.64547473011814</v>
      </c>
      <c r="AC11" s="7">
        <v>108.27792104307854</v>
      </c>
      <c r="AD11" s="7">
        <v>106.29316398015958</v>
      </c>
      <c r="AE11" s="7">
        <v>104.63405887149909</v>
      </c>
      <c r="AF11" s="7">
        <v>103.23986866067878</v>
      </c>
      <c r="AG11" s="7">
        <v>102.04694482705136</v>
      </c>
      <c r="AH11" s="7">
        <v>100.98943344986179</v>
      </c>
      <c r="AI11" s="5">
        <f t="shared" si="1"/>
        <v>100</v>
      </c>
      <c r="AJ11" s="3">
        <v>21</v>
      </c>
    </row>
    <row r="12" spans="1:36" x14ac:dyDescent="0.3">
      <c r="E12" s="8">
        <f t="shared" si="2"/>
        <v>6.5517241379310281E-2</v>
      </c>
      <c r="F12" s="4">
        <f t="shared" si="0"/>
        <v>300</v>
      </c>
      <c r="G12" s="7">
        <v>287.1287964242664</v>
      </c>
      <c r="H12" s="7">
        <v>274.32882857173064</v>
      </c>
      <c r="I12" s="7">
        <v>261.67044111219013</v>
      </c>
      <c r="J12" s="7">
        <v>249.22220970094281</v>
      </c>
      <c r="K12" s="7">
        <v>237.05008892167635</v>
      </c>
      <c r="L12" s="7">
        <v>225.21659839339395</v>
      </c>
      <c r="M12" s="7">
        <v>213.7800584975013</v>
      </c>
      <c r="N12" s="7">
        <v>202.79388615199707</v>
      </c>
      <c r="O12" s="7">
        <v>192.30595983933085</v>
      </c>
      <c r="P12" s="7">
        <v>182.35806172249517</v>
      </c>
      <c r="Q12" s="7">
        <v>172.98540320361184</v>
      </c>
      <c r="R12" s="7">
        <v>164.21623873582911</v>
      </c>
      <c r="S12" s="7">
        <v>156.07157113785956</v>
      </c>
      <c r="T12" s="7">
        <v>148.56495012413893</v>
      </c>
      <c r="U12" s="7">
        <v>141.70236429194313</v>
      </c>
      <c r="V12" s="7">
        <v>135.48222543435205</v>
      </c>
      <c r="W12" s="7">
        <v>129.89544280295897</v>
      </c>
      <c r="X12" s="7">
        <v>124.92558384789979</v>
      </c>
      <c r="Y12" s="7">
        <v>120.54911702881189</v>
      </c>
      <c r="Z12" s="7">
        <v>116.73573152484602</v>
      </c>
      <c r="AA12" s="7">
        <v>113.44872807362279</v>
      </c>
      <c r="AB12" s="7">
        <v>110.64547473011822</v>
      </c>
      <c r="AC12" s="7">
        <v>108.27792104307858</v>
      </c>
      <c r="AD12" s="7">
        <v>106.29316398015962</v>
      </c>
      <c r="AE12" s="7">
        <v>104.63405887149915</v>
      </c>
      <c r="AF12" s="7">
        <v>103.23986866067881</v>
      </c>
      <c r="AG12" s="7">
        <v>102.04694482705139</v>
      </c>
      <c r="AH12" s="7">
        <v>100.98943344986182</v>
      </c>
      <c r="AI12" s="5">
        <f t="shared" si="1"/>
        <v>100</v>
      </c>
      <c r="AJ12" s="3">
        <v>20</v>
      </c>
    </row>
    <row r="13" spans="1:36" x14ac:dyDescent="0.3">
      <c r="A13" s="20"/>
      <c r="B13" s="15" t="s">
        <v>9</v>
      </c>
      <c r="C13" s="15">
        <f>300</f>
        <v>300</v>
      </c>
      <c r="E13" s="8">
        <f t="shared" si="2"/>
        <v>6.2068965517241316E-2</v>
      </c>
      <c r="F13" s="4">
        <f t="shared" si="0"/>
        <v>300</v>
      </c>
      <c r="G13" s="7">
        <v>287.12879642426645</v>
      </c>
      <c r="H13" s="7">
        <v>274.3288285717307</v>
      </c>
      <c r="I13" s="7">
        <v>261.67044111219025</v>
      </c>
      <c r="J13" s="7">
        <v>249.22220970094287</v>
      </c>
      <c r="K13" s="7">
        <v>237.05008892167643</v>
      </c>
      <c r="L13" s="7">
        <v>225.21659839339401</v>
      </c>
      <c r="M13" s="7">
        <v>213.78005849750136</v>
      </c>
      <c r="N13" s="7">
        <v>202.79388615199716</v>
      </c>
      <c r="O13" s="7">
        <v>192.30595983933091</v>
      </c>
      <c r="P13" s="7">
        <v>182.35806172249522</v>
      </c>
      <c r="Q13" s="7">
        <v>172.9854032036119</v>
      </c>
      <c r="R13" s="7">
        <v>164.21623873582917</v>
      </c>
      <c r="S13" s="7">
        <v>156.07157113785962</v>
      </c>
      <c r="T13" s="7">
        <v>148.56495012413899</v>
      </c>
      <c r="U13" s="7">
        <v>141.70236429194318</v>
      </c>
      <c r="V13" s="7">
        <v>135.4822254343521</v>
      </c>
      <c r="W13" s="7">
        <v>129.89544280295902</v>
      </c>
      <c r="X13" s="7">
        <v>124.92558384789983</v>
      </c>
      <c r="Y13" s="7">
        <v>120.54911702881192</v>
      </c>
      <c r="Z13" s="7">
        <v>116.73573152484605</v>
      </c>
      <c r="AA13" s="7">
        <v>113.44872807362283</v>
      </c>
      <c r="AB13" s="7">
        <v>110.64547473011825</v>
      </c>
      <c r="AC13" s="7">
        <v>108.27792104307861</v>
      </c>
      <c r="AD13" s="7">
        <v>106.29316398015963</v>
      </c>
      <c r="AE13" s="7">
        <v>104.63405887149916</v>
      </c>
      <c r="AF13" s="7">
        <v>103.23986866067884</v>
      </c>
      <c r="AG13" s="7">
        <v>102.04694482705139</v>
      </c>
      <c r="AH13" s="7">
        <v>100.98943344986182</v>
      </c>
      <c r="AI13" s="5">
        <f t="shared" si="1"/>
        <v>100</v>
      </c>
      <c r="AJ13" s="3">
        <v>19</v>
      </c>
    </row>
    <row r="14" spans="1:36" x14ac:dyDescent="0.3">
      <c r="A14" s="20"/>
      <c r="B14" s="15" t="s">
        <v>13</v>
      </c>
      <c r="C14" s="15">
        <f>100</f>
        <v>100</v>
      </c>
      <c r="E14" s="8">
        <f t="shared" si="2"/>
        <v>5.8620689655172351E-2</v>
      </c>
      <c r="F14" s="4">
        <f t="shared" si="0"/>
        <v>300</v>
      </c>
      <c r="G14" s="7">
        <v>287.1287964242664</v>
      </c>
      <c r="H14" s="7">
        <v>274.3288285717307</v>
      </c>
      <c r="I14" s="7">
        <v>261.67044111219025</v>
      </c>
      <c r="J14" s="7">
        <v>249.22220970094287</v>
      </c>
      <c r="K14" s="7">
        <v>237.05008892167641</v>
      </c>
      <c r="L14" s="7">
        <v>225.21659839339401</v>
      </c>
      <c r="M14" s="7">
        <v>213.78005849750139</v>
      </c>
      <c r="N14" s="7">
        <v>202.79388615199716</v>
      </c>
      <c r="O14" s="7">
        <v>192.30595983933091</v>
      </c>
      <c r="P14" s="7">
        <v>182.35806172249525</v>
      </c>
      <c r="Q14" s="7">
        <v>172.9854032036119</v>
      </c>
      <c r="R14" s="7">
        <v>164.21623873582917</v>
      </c>
      <c r="S14" s="7">
        <v>156.07157113785962</v>
      </c>
      <c r="T14" s="7">
        <v>148.56495012413899</v>
      </c>
      <c r="U14" s="7">
        <v>141.70236429194321</v>
      </c>
      <c r="V14" s="7">
        <v>135.48222543435213</v>
      </c>
      <c r="W14" s="7">
        <v>129.89544280295902</v>
      </c>
      <c r="X14" s="7">
        <v>124.92558384789983</v>
      </c>
      <c r="Y14" s="7">
        <v>120.54911702881192</v>
      </c>
      <c r="Z14" s="7">
        <v>116.73573152484605</v>
      </c>
      <c r="AA14" s="7">
        <v>113.44872807362285</v>
      </c>
      <c r="AB14" s="7">
        <v>110.64547473011825</v>
      </c>
      <c r="AC14" s="7">
        <v>108.27792104307861</v>
      </c>
      <c r="AD14" s="7">
        <v>106.29316398015965</v>
      </c>
      <c r="AE14" s="7">
        <v>104.63405887149916</v>
      </c>
      <c r="AF14" s="7">
        <v>103.23986866067884</v>
      </c>
      <c r="AG14" s="7">
        <v>102.04694482705139</v>
      </c>
      <c r="AH14" s="7">
        <v>100.98943344986182</v>
      </c>
      <c r="AI14" s="5">
        <f t="shared" si="1"/>
        <v>100</v>
      </c>
      <c r="AJ14" s="3">
        <v>18</v>
      </c>
    </row>
    <row r="15" spans="1:36" x14ac:dyDescent="0.3">
      <c r="E15" s="8">
        <f t="shared" si="2"/>
        <v>5.5172413793103385E-2</v>
      </c>
      <c r="F15" s="4">
        <f t="shared" si="0"/>
        <v>300</v>
      </c>
      <c r="G15" s="7">
        <v>287.1287964242664</v>
      </c>
      <c r="H15" s="7">
        <v>274.3288285717307</v>
      </c>
      <c r="I15" s="7">
        <v>261.67044111219013</v>
      </c>
      <c r="J15" s="7">
        <v>249.22220970094281</v>
      </c>
      <c r="K15" s="7">
        <v>237.05008892167638</v>
      </c>
      <c r="L15" s="7">
        <v>225.21659839339401</v>
      </c>
      <c r="M15" s="7">
        <v>213.78005849750139</v>
      </c>
      <c r="N15" s="7">
        <v>202.79388615199713</v>
      </c>
      <c r="O15" s="7">
        <v>192.30595983933088</v>
      </c>
      <c r="P15" s="7">
        <v>182.35806172249522</v>
      </c>
      <c r="Q15" s="7">
        <v>172.9854032036119</v>
      </c>
      <c r="R15" s="7">
        <v>164.21623873582914</v>
      </c>
      <c r="S15" s="7">
        <v>156.07157113785962</v>
      </c>
      <c r="T15" s="7">
        <v>148.56495012413899</v>
      </c>
      <c r="U15" s="7">
        <v>141.70236429194321</v>
      </c>
      <c r="V15" s="7">
        <v>135.48222543435213</v>
      </c>
      <c r="W15" s="7">
        <v>129.89544280295905</v>
      </c>
      <c r="X15" s="7">
        <v>124.92558384789984</v>
      </c>
      <c r="Y15" s="7">
        <v>120.54911702881193</v>
      </c>
      <c r="Z15" s="7">
        <v>116.73573152484605</v>
      </c>
      <c r="AA15" s="7">
        <v>113.44872807362285</v>
      </c>
      <c r="AB15" s="7">
        <v>110.64547473011825</v>
      </c>
      <c r="AC15" s="7">
        <v>108.27792104307861</v>
      </c>
      <c r="AD15" s="7">
        <v>106.29316398015965</v>
      </c>
      <c r="AE15" s="7">
        <v>104.63405887149916</v>
      </c>
      <c r="AF15" s="7">
        <v>103.23986866067884</v>
      </c>
      <c r="AG15" s="7">
        <v>102.04694482705139</v>
      </c>
      <c r="AH15" s="7">
        <v>100.98943344986179</v>
      </c>
      <c r="AI15" s="5">
        <f t="shared" si="1"/>
        <v>100</v>
      </c>
      <c r="AJ15" s="3">
        <v>17</v>
      </c>
    </row>
    <row r="16" spans="1:36" x14ac:dyDescent="0.3">
      <c r="A16" s="24"/>
      <c r="B16" s="25" t="s">
        <v>10</v>
      </c>
      <c r="C16" s="25">
        <f>C11/(C4^2)</f>
        <v>3868599.9999999991</v>
      </c>
      <c r="E16" s="8">
        <f t="shared" si="2"/>
        <v>5.172413793103442E-2</v>
      </c>
      <c r="F16" s="4">
        <f t="shared" si="0"/>
        <v>300</v>
      </c>
      <c r="G16" s="7">
        <v>287.1287964242664</v>
      </c>
      <c r="H16" s="7">
        <v>274.3288285717307</v>
      </c>
      <c r="I16" s="7">
        <v>261.67044111219019</v>
      </c>
      <c r="J16" s="7">
        <v>249.22220970094284</v>
      </c>
      <c r="K16" s="7">
        <v>237.05008892167643</v>
      </c>
      <c r="L16" s="7">
        <v>225.21659839339404</v>
      </c>
      <c r="M16" s="7">
        <v>213.78005849750141</v>
      </c>
      <c r="N16" s="7">
        <v>202.79388615199716</v>
      </c>
      <c r="O16" s="7">
        <v>192.30595983933091</v>
      </c>
      <c r="P16" s="7">
        <v>182.35806172249525</v>
      </c>
      <c r="Q16" s="7">
        <v>172.9854032036119</v>
      </c>
      <c r="R16" s="7">
        <v>164.21623873582917</v>
      </c>
      <c r="S16" s="7">
        <v>156.07157113785962</v>
      </c>
      <c r="T16" s="7">
        <v>148.56495012413902</v>
      </c>
      <c r="U16" s="7">
        <v>141.70236429194324</v>
      </c>
      <c r="V16" s="7">
        <v>135.48222543435213</v>
      </c>
      <c r="W16" s="7">
        <v>129.89544280295908</v>
      </c>
      <c r="X16" s="7">
        <v>124.92558384789986</v>
      </c>
      <c r="Y16" s="7">
        <v>120.54911702881198</v>
      </c>
      <c r="Z16" s="7">
        <v>116.73573152484607</v>
      </c>
      <c r="AA16" s="7">
        <v>113.44872807362287</v>
      </c>
      <c r="AB16" s="7">
        <v>110.64547473011828</v>
      </c>
      <c r="AC16" s="7">
        <v>108.27792104307863</v>
      </c>
      <c r="AD16" s="7">
        <v>106.29316398015968</v>
      </c>
      <c r="AE16" s="7">
        <v>104.63405887149919</v>
      </c>
      <c r="AF16" s="7">
        <v>103.23986866067884</v>
      </c>
      <c r="AG16" s="7">
        <v>102.04694482705141</v>
      </c>
      <c r="AH16" s="7">
        <v>100.98943344986181</v>
      </c>
      <c r="AI16" s="5">
        <f t="shared" si="1"/>
        <v>100</v>
      </c>
      <c r="AJ16" s="3">
        <v>16</v>
      </c>
    </row>
    <row r="17" spans="1:36" x14ac:dyDescent="0.3">
      <c r="A17" s="24"/>
      <c r="B17" s="25" t="s">
        <v>11</v>
      </c>
      <c r="C17" s="25">
        <f>2*C11/(C4^2)+C10*C9/C7</f>
        <v>11325199.999999998</v>
      </c>
      <c r="E17" s="8">
        <f t="shared" si="2"/>
        <v>4.8275862068965454E-2</v>
      </c>
      <c r="F17" s="4">
        <f t="shared" si="0"/>
        <v>300</v>
      </c>
      <c r="G17" s="7">
        <v>287.1287964242664</v>
      </c>
      <c r="H17" s="7">
        <v>274.3288285717307</v>
      </c>
      <c r="I17" s="7">
        <v>261.67044111219025</v>
      </c>
      <c r="J17" s="7">
        <v>249.22220970094287</v>
      </c>
      <c r="K17" s="7">
        <v>237.05008892167643</v>
      </c>
      <c r="L17" s="7">
        <v>225.21659839339407</v>
      </c>
      <c r="M17" s="7">
        <v>213.78005849750144</v>
      </c>
      <c r="N17" s="7">
        <v>202.79388615199716</v>
      </c>
      <c r="O17" s="7">
        <v>192.30595983933091</v>
      </c>
      <c r="P17" s="7">
        <v>182.35806172249528</v>
      </c>
      <c r="Q17" s="7">
        <v>172.9854032036119</v>
      </c>
      <c r="R17" s="7">
        <v>164.21623873582917</v>
      </c>
      <c r="S17" s="7">
        <v>156.07157113785962</v>
      </c>
      <c r="T17" s="7">
        <v>148.56495012413902</v>
      </c>
      <c r="U17" s="7">
        <v>141.70236429194324</v>
      </c>
      <c r="V17" s="7">
        <v>135.48222543435213</v>
      </c>
      <c r="W17" s="7">
        <v>129.89544280295908</v>
      </c>
      <c r="X17" s="7">
        <v>124.92558384789987</v>
      </c>
      <c r="Y17" s="7">
        <v>120.54911702881199</v>
      </c>
      <c r="Z17" s="7">
        <v>116.73573152484609</v>
      </c>
      <c r="AA17" s="7">
        <v>113.44872807362287</v>
      </c>
      <c r="AB17" s="7">
        <v>110.64547473011828</v>
      </c>
      <c r="AC17" s="7">
        <v>108.27792104307866</v>
      </c>
      <c r="AD17" s="7">
        <v>106.29316398015968</v>
      </c>
      <c r="AE17" s="7">
        <v>104.63405887149921</v>
      </c>
      <c r="AF17" s="7">
        <v>103.23986866067884</v>
      </c>
      <c r="AG17" s="7">
        <v>102.04694482705142</v>
      </c>
      <c r="AH17" s="7">
        <v>100.98943344986182</v>
      </c>
      <c r="AI17" s="5">
        <f t="shared" si="1"/>
        <v>100</v>
      </c>
      <c r="AJ17" s="3">
        <v>15</v>
      </c>
    </row>
    <row r="18" spans="1:36" x14ac:dyDescent="0.3">
      <c r="A18" s="24"/>
      <c r="B18" s="25" t="s">
        <v>12</v>
      </c>
      <c r="C18" s="25">
        <f>C16</f>
        <v>3868599.9999999991</v>
      </c>
      <c r="E18" s="8">
        <f t="shared" si="2"/>
        <v>4.4827586206896489E-2</v>
      </c>
      <c r="F18" s="4">
        <f t="shared" si="0"/>
        <v>300</v>
      </c>
      <c r="G18" s="7">
        <v>287.1287964242664</v>
      </c>
      <c r="H18" s="7">
        <v>274.3288285717307</v>
      </c>
      <c r="I18" s="7">
        <v>261.67044111219019</v>
      </c>
      <c r="J18" s="7">
        <v>249.22220970094281</v>
      </c>
      <c r="K18" s="7">
        <v>237.05008892167641</v>
      </c>
      <c r="L18" s="7">
        <v>225.21659839339404</v>
      </c>
      <c r="M18" s="7">
        <v>213.78005849750144</v>
      </c>
      <c r="N18" s="7">
        <v>202.79388615199716</v>
      </c>
      <c r="O18" s="7">
        <v>192.30595983933091</v>
      </c>
      <c r="P18" s="7">
        <v>182.35806172249528</v>
      </c>
      <c r="Q18" s="7">
        <v>172.9854032036119</v>
      </c>
      <c r="R18" s="7">
        <v>164.21623873582917</v>
      </c>
      <c r="S18" s="7">
        <v>156.07157113785962</v>
      </c>
      <c r="T18" s="7">
        <v>148.56495012413902</v>
      </c>
      <c r="U18" s="7">
        <v>141.70236429194324</v>
      </c>
      <c r="V18" s="7">
        <v>135.48222543435213</v>
      </c>
      <c r="W18" s="7">
        <v>129.89544280295908</v>
      </c>
      <c r="X18" s="7">
        <v>124.92558384789987</v>
      </c>
      <c r="Y18" s="7">
        <v>120.54911702881198</v>
      </c>
      <c r="Z18" s="7">
        <v>116.7357315248461</v>
      </c>
      <c r="AA18" s="7">
        <v>113.44872807362287</v>
      </c>
      <c r="AB18" s="7">
        <v>110.64547473011827</v>
      </c>
      <c r="AC18" s="7">
        <v>108.27792104307866</v>
      </c>
      <c r="AD18" s="7">
        <v>106.29316398015968</v>
      </c>
      <c r="AE18" s="7">
        <v>104.63405887149921</v>
      </c>
      <c r="AF18" s="7">
        <v>103.23986866067884</v>
      </c>
      <c r="AG18" s="7">
        <v>102.04694482705142</v>
      </c>
      <c r="AH18" s="7">
        <v>100.98943344986182</v>
      </c>
      <c r="AI18" s="5">
        <f t="shared" si="1"/>
        <v>100</v>
      </c>
      <c r="AJ18" s="3">
        <v>14</v>
      </c>
    </row>
    <row r="19" spans="1:36" x14ac:dyDescent="0.3">
      <c r="E19" s="8">
        <f t="shared" si="2"/>
        <v>4.1379310344827523E-2</v>
      </c>
      <c r="F19" s="4">
        <f t="shared" si="0"/>
        <v>300</v>
      </c>
      <c r="G19" s="7">
        <v>287.1287964242664</v>
      </c>
      <c r="H19" s="7">
        <v>274.32882857173064</v>
      </c>
      <c r="I19" s="7">
        <v>261.67044111219013</v>
      </c>
      <c r="J19" s="7">
        <v>249.22220970094281</v>
      </c>
      <c r="K19" s="7">
        <v>237.05008892167638</v>
      </c>
      <c r="L19" s="7">
        <v>225.21659839339401</v>
      </c>
      <c r="M19" s="7">
        <v>213.78005849750144</v>
      </c>
      <c r="N19" s="7">
        <v>202.79388615199716</v>
      </c>
      <c r="O19" s="7">
        <v>192.30595983933091</v>
      </c>
      <c r="P19" s="7">
        <v>182.35806172249525</v>
      </c>
      <c r="Q19" s="7">
        <v>172.9854032036119</v>
      </c>
      <c r="R19" s="7">
        <v>164.21623873582917</v>
      </c>
      <c r="S19" s="7">
        <v>156.07157113785962</v>
      </c>
      <c r="T19" s="7">
        <v>148.56495012413899</v>
      </c>
      <c r="U19" s="7">
        <v>141.70236429194324</v>
      </c>
      <c r="V19" s="7">
        <v>135.4822254343521</v>
      </c>
      <c r="W19" s="7">
        <v>129.89544280295905</v>
      </c>
      <c r="X19" s="7">
        <v>124.92558384789987</v>
      </c>
      <c r="Y19" s="7">
        <v>120.54911702881196</v>
      </c>
      <c r="Z19" s="7">
        <v>116.7357315248461</v>
      </c>
      <c r="AA19" s="7">
        <v>113.44872807362287</v>
      </c>
      <c r="AB19" s="7">
        <v>110.64547473011825</v>
      </c>
      <c r="AC19" s="7">
        <v>108.27792104307865</v>
      </c>
      <c r="AD19" s="7">
        <v>106.29316398015966</v>
      </c>
      <c r="AE19" s="7">
        <v>104.63405887149921</v>
      </c>
      <c r="AF19" s="7">
        <v>103.23986866067884</v>
      </c>
      <c r="AG19" s="7">
        <v>102.04694482705141</v>
      </c>
      <c r="AH19" s="7">
        <v>100.98943344986182</v>
      </c>
      <c r="AI19" s="5">
        <f t="shared" si="1"/>
        <v>100</v>
      </c>
      <c r="AJ19" s="3">
        <v>13</v>
      </c>
    </row>
    <row r="20" spans="1:36" x14ac:dyDescent="0.3">
      <c r="A20" s="26"/>
      <c r="B20" s="27" t="s">
        <v>10</v>
      </c>
      <c r="C20" s="27">
        <f>C11/(C5^2)</f>
        <v>3868599.9999999991</v>
      </c>
      <c r="E20" s="8">
        <f t="shared" si="2"/>
        <v>3.7931034482758558E-2</v>
      </c>
      <c r="F20" s="4">
        <f t="shared" si="0"/>
        <v>300</v>
      </c>
      <c r="G20" s="7">
        <v>287.1287964242664</v>
      </c>
      <c r="H20" s="7">
        <v>274.3288285717307</v>
      </c>
      <c r="I20" s="7">
        <v>261.67044111219013</v>
      </c>
      <c r="J20" s="7">
        <v>249.22220970094281</v>
      </c>
      <c r="K20" s="7">
        <v>237.05008892167638</v>
      </c>
      <c r="L20" s="7">
        <v>225.21659839339401</v>
      </c>
      <c r="M20" s="7">
        <v>213.78005849750144</v>
      </c>
      <c r="N20" s="7">
        <v>202.79388615199716</v>
      </c>
      <c r="O20" s="7">
        <v>192.30595983933091</v>
      </c>
      <c r="P20" s="7">
        <v>182.35806172249525</v>
      </c>
      <c r="Q20" s="7">
        <v>172.9854032036119</v>
      </c>
      <c r="R20" s="7">
        <v>164.21623873582917</v>
      </c>
      <c r="S20" s="7">
        <v>156.07157113785962</v>
      </c>
      <c r="T20" s="7">
        <v>148.56495012413899</v>
      </c>
      <c r="U20" s="7">
        <v>141.70236429194324</v>
      </c>
      <c r="V20" s="7">
        <v>135.4822254343521</v>
      </c>
      <c r="W20" s="7">
        <v>129.89544280295905</v>
      </c>
      <c r="X20" s="7">
        <v>124.92558384789987</v>
      </c>
      <c r="Y20" s="7">
        <v>120.54911702881196</v>
      </c>
      <c r="Z20" s="7">
        <v>116.7357315248461</v>
      </c>
      <c r="AA20" s="7">
        <v>113.44872807362287</v>
      </c>
      <c r="AB20" s="7">
        <v>110.64547473011825</v>
      </c>
      <c r="AC20" s="7">
        <v>108.27792104307863</v>
      </c>
      <c r="AD20" s="7">
        <v>106.29316398015968</v>
      </c>
      <c r="AE20" s="7">
        <v>104.63405887149921</v>
      </c>
      <c r="AF20" s="7">
        <v>103.23986866067884</v>
      </c>
      <c r="AG20" s="7">
        <v>102.04694482705141</v>
      </c>
      <c r="AH20" s="7">
        <v>100.98943344986182</v>
      </c>
      <c r="AI20" s="5">
        <f t="shared" si="1"/>
        <v>100</v>
      </c>
      <c r="AJ20" s="3">
        <v>12</v>
      </c>
    </row>
    <row r="21" spans="1:36" x14ac:dyDescent="0.3">
      <c r="A21" s="26"/>
      <c r="B21" s="27" t="s">
        <v>11</v>
      </c>
      <c r="C21" s="27">
        <f>2*C11/(C5^2)+C10*C9/C7</f>
        <v>11325199.999999998</v>
      </c>
      <c r="E21" s="8">
        <f t="shared" si="2"/>
        <v>3.4482758620689592E-2</v>
      </c>
      <c r="F21" s="4">
        <f t="shared" si="0"/>
        <v>300</v>
      </c>
      <c r="G21" s="7">
        <v>287.1287964242664</v>
      </c>
      <c r="H21" s="7">
        <v>274.3288285717307</v>
      </c>
      <c r="I21" s="7">
        <v>261.67044111219019</v>
      </c>
      <c r="J21" s="7">
        <v>249.22220970094287</v>
      </c>
      <c r="K21" s="7">
        <v>237.05008892167638</v>
      </c>
      <c r="L21" s="7">
        <v>225.21659839339407</v>
      </c>
      <c r="M21" s="7">
        <v>213.78005849750144</v>
      </c>
      <c r="N21" s="7">
        <v>202.79388615199716</v>
      </c>
      <c r="O21" s="7">
        <v>192.30595983933091</v>
      </c>
      <c r="P21" s="7">
        <v>182.35806172249528</v>
      </c>
      <c r="Q21" s="7">
        <v>172.98540320361192</v>
      </c>
      <c r="R21" s="7">
        <v>164.21623873582917</v>
      </c>
      <c r="S21" s="7">
        <v>156.07157113785962</v>
      </c>
      <c r="T21" s="7">
        <v>148.56495012413899</v>
      </c>
      <c r="U21" s="7">
        <v>141.70236429194324</v>
      </c>
      <c r="V21" s="7">
        <v>135.48222543435213</v>
      </c>
      <c r="W21" s="7">
        <v>129.89544280295908</v>
      </c>
      <c r="X21" s="7">
        <v>124.92558384789987</v>
      </c>
      <c r="Y21" s="7">
        <v>120.54911702881196</v>
      </c>
      <c r="Z21" s="7">
        <v>116.7357315248461</v>
      </c>
      <c r="AA21" s="7">
        <v>113.44872807362289</v>
      </c>
      <c r="AB21" s="7">
        <v>110.64547473011825</v>
      </c>
      <c r="AC21" s="7">
        <v>108.27792104307863</v>
      </c>
      <c r="AD21" s="7">
        <v>106.29316398015969</v>
      </c>
      <c r="AE21" s="7">
        <v>104.63405887149921</v>
      </c>
      <c r="AF21" s="7">
        <v>103.23986866067885</v>
      </c>
      <c r="AG21" s="7">
        <v>102.04694482705141</v>
      </c>
      <c r="AH21" s="7">
        <v>100.98943344986182</v>
      </c>
      <c r="AI21" s="5">
        <f t="shared" si="1"/>
        <v>100</v>
      </c>
      <c r="AJ21" s="3">
        <v>11</v>
      </c>
    </row>
    <row r="22" spans="1:36" x14ac:dyDescent="0.3">
      <c r="A22" s="26"/>
      <c r="B22" s="27" t="s">
        <v>12</v>
      </c>
      <c r="C22" s="27">
        <f>C20</f>
        <v>3868599.9999999991</v>
      </c>
      <c r="E22" s="8">
        <f t="shared" si="2"/>
        <v>3.1034482758620627E-2</v>
      </c>
      <c r="F22" s="4">
        <f t="shared" si="0"/>
        <v>300</v>
      </c>
      <c r="G22" s="7">
        <v>287.1287964242664</v>
      </c>
      <c r="H22" s="7">
        <v>274.3288285717307</v>
      </c>
      <c r="I22" s="7">
        <v>261.67044111219025</v>
      </c>
      <c r="J22" s="7">
        <v>249.22220970094284</v>
      </c>
      <c r="K22" s="7">
        <v>237.05008892167638</v>
      </c>
      <c r="L22" s="7">
        <v>225.21659839339407</v>
      </c>
      <c r="M22" s="7">
        <v>213.78005849750144</v>
      </c>
      <c r="N22" s="7">
        <v>202.79388615199713</v>
      </c>
      <c r="O22" s="7">
        <v>192.30595983933091</v>
      </c>
      <c r="P22" s="7">
        <v>182.35806172249528</v>
      </c>
      <c r="Q22" s="7">
        <v>172.98540320361192</v>
      </c>
      <c r="R22" s="7">
        <v>164.21623873582917</v>
      </c>
      <c r="S22" s="7">
        <v>156.07157113785962</v>
      </c>
      <c r="T22" s="7">
        <v>148.56495012413899</v>
      </c>
      <c r="U22" s="7">
        <v>141.70236429194324</v>
      </c>
      <c r="V22" s="7">
        <v>135.48222543435213</v>
      </c>
      <c r="W22" s="7">
        <v>129.89544280295905</v>
      </c>
      <c r="X22" s="7">
        <v>124.92558384789987</v>
      </c>
      <c r="Y22" s="7">
        <v>120.54911702881196</v>
      </c>
      <c r="Z22" s="7">
        <v>116.73573152484607</v>
      </c>
      <c r="AA22" s="7">
        <v>113.44872807362287</v>
      </c>
      <c r="AB22" s="7">
        <v>110.64547473011825</v>
      </c>
      <c r="AC22" s="7">
        <v>108.27792104307863</v>
      </c>
      <c r="AD22" s="7">
        <v>106.29316398015968</v>
      </c>
      <c r="AE22" s="7">
        <v>104.63405887149919</v>
      </c>
      <c r="AF22" s="7">
        <v>103.23986866067884</v>
      </c>
      <c r="AG22" s="7">
        <v>102.04694482705139</v>
      </c>
      <c r="AH22" s="7">
        <v>100.98943344986182</v>
      </c>
      <c r="AI22" s="5">
        <f t="shared" si="1"/>
        <v>100</v>
      </c>
      <c r="AJ22" s="3">
        <v>10</v>
      </c>
    </row>
    <row r="23" spans="1:36" x14ac:dyDescent="0.3">
      <c r="E23" s="8">
        <f t="shared" si="2"/>
        <v>2.7586206896551661E-2</v>
      </c>
      <c r="F23" s="4">
        <f t="shared" si="0"/>
        <v>300</v>
      </c>
      <c r="G23" s="7">
        <v>287.1287964242664</v>
      </c>
      <c r="H23" s="7">
        <v>274.32882857173064</v>
      </c>
      <c r="I23" s="7">
        <v>261.67044111219019</v>
      </c>
      <c r="J23" s="7">
        <v>249.22220970094281</v>
      </c>
      <c r="K23" s="7">
        <v>237.05008892167632</v>
      </c>
      <c r="L23" s="7">
        <v>225.21659839339401</v>
      </c>
      <c r="M23" s="7">
        <v>213.78005849750139</v>
      </c>
      <c r="N23" s="7">
        <v>202.79388615199713</v>
      </c>
      <c r="O23" s="7">
        <v>192.30595983933088</v>
      </c>
      <c r="P23" s="7">
        <v>182.35806172249522</v>
      </c>
      <c r="Q23" s="7">
        <v>172.9854032036119</v>
      </c>
      <c r="R23" s="7">
        <v>164.21623873582917</v>
      </c>
      <c r="S23" s="7">
        <v>156.07157113785959</v>
      </c>
      <c r="T23" s="7">
        <v>148.56495012413896</v>
      </c>
      <c r="U23" s="7">
        <v>141.70236429194321</v>
      </c>
      <c r="V23" s="7">
        <v>135.48222543435207</v>
      </c>
      <c r="W23" s="7">
        <v>129.89544280295902</v>
      </c>
      <c r="X23" s="7">
        <v>124.92558384789982</v>
      </c>
      <c r="Y23" s="7">
        <v>120.54911702881193</v>
      </c>
      <c r="Z23" s="7">
        <v>116.73573152484605</v>
      </c>
      <c r="AA23" s="7">
        <v>113.44872807362285</v>
      </c>
      <c r="AB23" s="7">
        <v>110.64547473011822</v>
      </c>
      <c r="AC23" s="7">
        <v>108.27792104307861</v>
      </c>
      <c r="AD23" s="7">
        <v>106.29316398015965</v>
      </c>
      <c r="AE23" s="7">
        <v>104.63405887149915</v>
      </c>
      <c r="AF23" s="7">
        <v>103.23986866067882</v>
      </c>
      <c r="AG23" s="7">
        <v>102.04694482705139</v>
      </c>
      <c r="AH23" s="7">
        <v>100.98943344986182</v>
      </c>
      <c r="AI23" s="5">
        <f t="shared" si="1"/>
        <v>100</v>
      </c>
      <c r="AJ23" s="3">
        <v>9</v>
      </c>
    </row>
    <row r="24" spans="1:36" x14ac:dyDescent="0.3">
      <c r="E24" s="8">
        <f t="shared" si="2"/>
        <v>2.4137931034482696E-2</v>
      </c>
      <c r="F24" s="4">
        <f t="shared" si="0"/>
        <v>300</v>
      </c>
      <c r="G24" s="7">
        <v>287.1287964242664</v>
      </c>
      <c r="H24" s="7">
        <v>274.32882857173058</v>
      </c>
      <c r="I24" s="7">
        <v>261.67044111219013</v>
      </c>
      <c r="J24" s="7">
        <v>249.22220970094276</v>
      </c>
      <c r="K24" s="7">
        <v>237.05008892167632</v>
      </c>
      <c r="L24" s="7">
        <v>225.21659839339395</v>
      </c>
      <c r="M24" s="7">
        <v>213.78005849750133</v>
      </c>
      <c r="N24" s="7">
        <v>202.79388615199707</v>
      </c>
      <c r="O24" s="7">
        <v>192.30595983933085</v>
      </c>
      <c r="P24" s="7">
        <v>182.35806172249522</v>
      </c>
      <c r="Q24" s="7">
        <v>172.98540320361187</v>
      </c>
      <c r="R24" s="7">
        <v>164.21623873582914</v>
      </c>
      <c r="S24" s="7">
        <v>156.07157113785956</v>
      </c>
      <c r="T24" s="7">
        <v>148.56495012413893</v>
      </c>
      <c r="U24" s="7">
        <v>141.70236429194318</v>
      </c>
      <c r="V24" s="7">
        <v>135.48222543435207</v>
      </c>
      <c r="W24" s="7">
        <v>129.895442802959</v>
      </c>
      <c r="X24" s="7">
        <v>124.9255838478998</v>
      </c>
      <c r="Y24" s="7">
        <v>120.54911702881191</v>
      </c>
      <c r="Z24" s="7">
        <v>116.73573152484605</v>
      </c>
      <c r="AA24" s="7">
        <v>113.44872807362283</v>
      </c>
      <c r="AB24" s="7">
        <v>110.64547473011822</v>
      </c>
      <c r="AC24" s="7">
        <v>108.27792104307858</v>
      </c>
      <c r="AD24" s="7">
        <v>106.29316398015962</v>
      </c>
      <c r="AE24" s="7">
        <v>104.63405887149914</v>
      </c>
      <c r="AF24" s="7">
        <v>103.23986866067881</v>
      </c>
      <c r="AG24" s="7">
        <v>102.04694482705136</v>
      </c>
      <c r="AH24" s="7">
        <v>100.98943344986181</v>
      </c>
      <c r="AI24" s="5">
        <f t="shared" si="1"/>
        <v>100</v>
      </c>
      <c r="AJ24" s="3">
        <v>8</v>
      </c>
    </row>
    <row r="25" spans="1:36" x14ac:dyDescent="0.3">
      <c r="E25" s="8">
        <f t="shared" si="2"/>
        <v>2.068965517241373E-2</v>
      </c>
      <c r="F25" s="4">
        <f t="shared" si="0"/>
        <v>300</v>
      </c>
      <c r="G25" s="7">
        <v>287.12879642426634</v>
      </c>
      <c r="H25" s="7">
        <v>274.32882857173053</v>
      </c>
      <c r="I25" s="7">
        <v>261.67044111219013</v>
      </c>
      <c r="J25" s="7">
        <v>249.22220970094273</v>
      </c>
      <c r="K25" s="7">
        <v>237.05008892167626</v>
      </c>
      <c r="L25" s="7">
        <v>225.21659839339389</v>
      </c>
      <c r="M25" s="7">
        <v>213.78005849750127</v>
      </c>
      <c r="N25" s="7">
        <v>202.79388615199701</v>
      </c>
      <c r="O25" s="7">
        <v>192.3059598393308</v>
      </c>
      <c r="P25" s="7">
        <v>182.35806172249517</v>
      </c>
      <c r="Q25" s="7">
        <v>172.98540320361184</v>
      </c>
      <c r="R25" s="7">
        <v>164.21623873582911</v>
      </c>
      <c r="S25" s="7">
        <v>156.07157113785956</v>
      </c>
      <c r="T25" s="7">
        <v>148.56495012413893</v>
      </c>
      <c r="U25" s="7">
        <v>141.70236429194316</v>
      </c>
      <c r="V25" s="7">
        <v>135.48222543435205</v>
      </c>
      <c r="W25" s="7">
        <v>129.895442802959</v>
      </c>
      <c r="X25" s="7">
        <v>124.92558384789979</v>
      </c>
      <c r="Y25" s="7">
        <v>120.54911702881191</v>
      </c>
      <c r="Z25" s="7">
        <v>116.73573152484603</v>
      </c>
      <c r="AA25" s="7">
        <v>113.44872807362282</v>
      </c>
      <c r="AB25" s="7">
        <v>110.64547473011822</v>
      </c>
      <c r="AC25" s="7">
        <v>108.27792104307858</v>
      </c>
      <c r="AD25" s="7">
        <v>106.2931639801596</v>
      </c>
      <c r="AE25" s="7">
        <v>104.63405887149912</v>
      </c>
      <c r="AF25" s="7">
        <v>103.23986866067878</v>
      </c>
      <c r="AG25" s="7">
        <v>102.04694482705136</v>
      </c>
      <c r="AH25" s="7">
        <v>100.98943344986179</v>
      </c>
      <c r="AI25" s="5">
        <f t="shared" si="1"/>
        <v>100</v>
      </c>
      <c r="AJ25" s="3">
        <v>7</v>
      </c>
    </row>
    <row r="26" spans="1:36" x14ac:dyDescent="0.3">
      <c r="E26" s="8">
        <f t="shared" si="2"/>
        <v>1.7241379310344765E-2</v>
      </c>
      <c r="F26" s="4">
        <f t="shared" si="0"/>
        <v>300</v>
      </c>
      <c r="G26" s="7">
        <v>287.1287964242664</v>
      </c>
      <c r="H26" s="7">
        <v>274.32882857173058</v>
      </c>
      <c r="I26" s="7">
        <v>261.67044111219013</v>
      </c>
      <c r="J26" s="7">
        <v>249.22220970094278</v>
      </c>
      <c r="K26" s="7">
        <v>237.05008892167632</v>
      </c>
      <c r="L26" s="7">
        <v>225.21659839339392</v>
      </c>
      <c r="M26" s="7">
        <v>213.78005849750127</v>
      </c>
      <c r="N26" s="7">
        <v>202.79388615199704</v>
      </c>
      <c r="O26" s="7">
        <v>192.3059598393308</v>
      </c>
      <c r="P26" s="7">
        <v>182.35806172249519</v>
      </c>
      <c r="Q26" s="7">
        <v>172.98540320361184</v>
      </c>
      <c r="R26" s="7">
        <v>164.21623873582914</v>
      </c>
      <c r="S26" s="7">
        <v>156.07157113785956</v>
      </c>
      <c r="T26" s="7">
        <v>148.56495012413893</v>
      </c>
      <c r="U26" s="7">
        <v>141.70236429194318</v>
      </c>
      <c r="V26" s="7">
        <v>135.48222543435207</v>
      </c>
      <c r="W26" s="7">
        <v>129.89544280295902</v>
      </c>
      <c r="X26" s="7">
        <v>124.92558384789982</v>
      </c>
      <c r="Y26" s="7">
        <v>120.54911702881191</v>
      </c>
      <c r="Z26" s="7">
        <v>116.73573152484605</v>
      </c>
      <c r="AA26" s="7">
        <v>113.44872807362283</v>
      </c>
      <c r="AB26" s="7">
        <v>110.64547473011822</v>
      </c>
      <c r="AC26" s="7">
        <v>108.27792104307858</v>
      </c>
      <c r="AD26" s="7">
        <v>106.29316398015962</v>
      </c>
      <c r="AE26" s="7">
        <v>104.63405887149915</v>
      </c>
      <c r="AF26" s="7">
        <v>103.23986866067879</v>
      </c>
      <c r="AG26" s="7">
        <v>102.04694482705136</v>
      </c>
      <c r="AH26" s="7">
        <v>100.98943344986179</v>
      </c>
      <c r="AI26" s="5">
        <f t="shared" si="1"/>
        <v>100</v>
      </c>
      <c r="AJ26" s="3">
        <v>6</v>
      </c>
    </row>
    <row r="27" spans="1:36" x14ac:dyDescent="0.3">
      <c r="E27" s="8">
        <f t="shared" si="2"/>
        <v>1.3793103448275799E-2</v>
      </c>
      <c r="F27" s="4">
        <f t="shared" si="0"/>
        <v>300</v>
      </c>
      <c r="G27" s="7">
        <v>287.1287964242664</v>
      </c>
      <c r="H27" s="7">
        <v>274.32882857173064</v>
      </c>
      <c r="I27" s="7">
        <v>261.67044111219013</v>
      </c>
      <c r="J27" s="7">
        <v>249.22220970094278</v>
      </c>
      <c r="K27" s="7">
        <v>237.05008892167632</v>
      </c>
      <c r="L27" s="7">
        <v>225.21659839339395</v>
      </c>
      <c r="M27" s="7">
        <v>213.7800584975013</v>
      </c>
      <c r="N27" s="7">
        <v>202.79388615199707</v>
      </c>
      <c r="O27" s="7">
        <v>192.30595983933085</v>
      </c>
      <c r="P27" s="7">
        <v>182.35806172249522</v>
      </c>
      <c r="Q27" s="7">
        <v>172.98540320361187</v>
      </c>
      <c r="R27" s="7">
        <v>164.21623873582917</v>
      </c>
      <c r="S27" s="7">
        <v>156.07157113785956</v>
      </c>
      <c r="T27" s="7">
        <v>148.56495012413893</v>
      </c>
      <c r="U27" s="7">
        <v>141.70236429194318</v>
      </c>
      <c r="V27" s="7">
        <v>135.48222543435207</v>
      </c>
      <c r="W27" s="7">
        <v>129.89544280295905</v>
      </c>
      <c r="X27" s="7">
        <v>124.92558384789983</v>
      </c>
      <c r="Y27" s="7">
        <v>120.54911702881191</v>
      </c>
      <c r="Z27" s="7">
        <v>116.73573152484605</v>
      </c>
      <c r="AA27" s="7">
        <v>113.44872807362283</v>
      </c>
      <c r="AB27" s="7">
        <v>110.64547473011824</v>
      </c>
      <c r="AC27" s="7">
        <v>108.27792104307858</v>
      </c>
      <c r="AD27" s="7">
        <v>106.29316398015962</v>
      </c>
      <c r="AE27" s="7">
        <v>104.63405887149916</v>
      </c>
      <c r="AF27" s="7">
        <v>103.23986866067881</v>
      </c>
      <c r="AG27" s="7">
        <v>102.04694482705136</v>
      </c>
      <c r="AH27" s="7">
        <v>100.98943344986181</v>
      </c>
      <c r="AI27" s="5">
        <f t="shared" si="1"/>
        <v>100</v>
      </c>
      <c r="AJ27" s="3">
        <v>5</v>
      </c>
    </row>
    <row r="28" spans="1:36" x14ac:dyDescent="0.3">
      <c r="E28" s="8">
        <f t="shared" si="2"/>
        <v>1.0344827586206834E-2</v>
      </c>
      <c r="F28" s="4">
        <f t="shared" si="0"/>
        <v>300</v>
      </c>
      <c r="G28" s="7">
        <v>287.1287964242664</v>
      </c>
      <c r="H28" s="7">
        <v>274.3288285717307</v>
      </c>
      <c r="I28" s="7">
        <v>261.67044111219013</v>
      </c>
      <c r="J28" s="7">
        <v>249.22220970094276</v>
      </c>
      <c r="K28" s="7">
        <v>237.05008892167632</v>
      </c>
      <c r="L28" s="7">
        <v>225.21659839339401</v>
      </c>
      <c r="M28" s="7">
        <v>213.78005849750133</v>
      </c>
      <c r="N28" s="7">
        <v>202.7938861519971</v>
      </c>
      <c r="O28" s="7">
        <v>192.30595983933088</v>
      </c>
      <c r="P28" s="7">
        <v>182.35806172249522</v>
      </c>
      <c r="Q28" s="7">
        <v>172.9854032036119</v>
      </c>
      <c r="R28" s="7">
        <v>164.21623873582917</v>
      </c>
      <c r="S28" s="7">
        <v>156.07157113785956</v>
      </c>
      <c r="T28" s="7">
        <v>148.56495012413896</v>
      </c>
      <c r="U28" s="7">
        <v>141.70236429194318</v>
      </c>
      <c r="V28" s="7">
        <v>135.48222543435207</v>
      </c>
      <c r="W28" s="7">
        <v>129.89544280295905</v>
      </c>
      <c r="X28" s="7">
        <v>124.92558384789984</v>
      </c>
      <c r="Y28" s="7">
        <v>120.54911702881195</v>
      </c>
      <c r="Z28" s="7">
        <v>116.73573152484606</v>
      </c>
      <c r="AA28" s="7">
        <v>113.44872807362285</v>
      </c>
      <c r="AB28" s="7">
        <v>110.64547473011825</v>
      </c>
      <c r="AC28" s="7">
        <v>108.27792104307861</v>
      </c>
      <c r="AD28" s="7">
        <v>106.29316398015963</v>
      </c>
      <c r="AE28" s="7">
        <v>104.63405887149918</v>
      </c>
      <c r="AF28" s="7">
        <v>103.23986866067882</v>
      </c>
      <c r="AG28" s="7">
        <v>102.04694482705138</v>
      </c>
      <c r="AH28" s="7">
        <v>100.98943344986182</v>
      </c>
      <c r="AI28" s="5">
        <f t="shared" si="1"/>
        <v>100</v>
      </c>
      <c r="AJ28" s="3">
        <v>4</v>
      </c>
    </row>
    <row r="29" spans="1:36" x14ac:dyDescent="0.3">
      <c r="E29" s="8">
        <f>E28-$C$5</f>
        <v>6.8965517241378685E-3</v>
      </c>
      <c r="F29" s="4">
        <f t="shared" si="0"/>
        <v>300</v>
      </c>
      <c r="G29" s="7">
        <v>287.1287964242664</v>
      </c>
      <c r="H29" s="7">
        <v>274.3288285717307</v>
      </c>
      <c r="I29" s="7">
        <v>261.67044111219013</v>
      </c>
      <c r="J29" s="7">
        <v>249.22220970094278</v>
      </c>
      <c r="K29" s="7">
        <v>237.05008892167632</v>
      </c>
      <c r="L29" s="7">
        <v>225.21659839339398</v>
      </c>
      <c r="M29" s="7">
        <v>213.78005849750133</v>
      </c>
      <c r="N29" s="7">
        <v>202.79388615199713</v>
      </c>
      <c r="O29" s="7">
        <v>192.30595983933088</v>
      </c>
      <c r="P29" s="7">
        <v>182.35806172249522</v>
      </c>
      <c r="Q29" s="7">
        <v>172.9854032036119</v>
      </c>
      <c r="R29" s="7">
        <v>164.21623873582917</v>
      </c>
      <c r="S29" s="7">
        <v>156.07157113785956</v>
      </c>
      <c r="T29" s="7">
        <v>148.56495012413896</v>
      </c>
      <c r="U29" s="7">
        <v>141.70236429194318</v>
      </c>
      <c r="V29" s="7">
        <v>135.48222543435207</v>
      </c>
      <c r="W29" s="7">
        <v>129.89544280295905</v>
      </c>
      <c r="X29" s="7">
        <v>124.92558384789986</v>
      </c>
      <c r="Y29" s="7">
        <v>120.54911702881195</v>
      </c>
      <c r="Z29" s="7">
        <v>116.73573152484607</v>
      </c>
      <c r="AA29" s="7">
        <v>113.44872807362285</v>
      </c>
      <c r="AB29" s="7">
        <v>110.64547473011825</v>
      </c>
      <c r="AC29" s="7">
        <v>108.27792104307861</v>
      </c>
      <c r="AD29" s="7">
        <v>106.29316398015965</v>
      </c>
      <c r="AE29" s="7">
        <v>104.63405887149918</v>
      </c>
      <c r="AF29" s="7">
        <v>103.23986866067882</v>
      </c>
      <c r="AG29" s="7">
        <v>102.04694482705139</v>
      </c>
      <c r="AH29" s="7">
        <v>100.98943344986182</v>
      </c>
      <c r="AI29" s="5">
        <f t="shared" si="1"/>
        <v>100</v>
      </c>
      <c r="AJ29" s="3">
        <v>3</v>
      </c>
    </row>
    <row r="30" spans="1:36" x14ac:dyDescent="0.3">
      <c r="E30" s="8">
        <f t="shared" si="2"/>
        <v>3.4482758620689026E-3</v>
      </c>
      <c r="F30" s="4">
        <f t="shared" si="0"/>
        <v>300</v>
      </c>
      <c r="G30" s="7">
        <v>287.1287964242664</v>
      </c>
      <c r="H30" s="7">
        <v>274.3288285717307</v>
      </c>
      <c r="I30" s="7">
        <v>261.67044111219013</v>
      </c>
      <c r="J30" s="7">
        <v>249.22220970094281</v>
      </c>
      <c r="K30" s="7">
        <v>237.05008892167632</v>
      </c>
      <c r="L30" s="7">
        <v>225.21659839339398</v>
      </c>
      <c r="M30" s="7">
        <v>213.78005849750133</v>
      </c>
      <c r="N30" s="7">
        <v>202.79388615199713</v>
      </c>
      <c r="O30" s="7">
        <v>192.30595983933088</v>
      </c>
      <c r="P30" s="7">
        <v>182.35806172249522</v>
      </c>
      <c r="Q30" s="7">
        <v>172.9854032036119</v>
      </c>
      <c r="R30" s="7">
        <v>164.21623873582917</v>
      </c>
      <c r="S30" s="7">
        <v>156.07157113785956</v>
      </c>
      <c r="T30" s="7">
        <v>148.56495012413896</v>
      </c>
      <c r="U30" s="7">
        <v>141.70236429194318</v>
      </c>
      <c r="V30" s="7">
        <v>135.48222543435207</v>
      </c>
      <c r="W30" s="7">
        <v>129.89544280295905</v>
      </c>
      <c r="X30" s="7">
        <v>124.92558384789986</v>
      </c>
      <c r="Y30" s="7">
        <v>120.54911702881196</v>
      </c>
      <c r="Z30" s="7">
        <v>116.73573152484607</v>
      </c>
      <c r="AA30" s="7">
        <v>113.44872807362285</v>
      </c>
      <c r="AB30" s="7">
        <v>110.64547473011825</v>
      </c>
      <c r="AC30" s="7">
        <v>108.27792104307861</v>
      </c>
      <c r="AD30" s="7">
        <v>106.29316398015965</v>
      </c>
      <c r="AE30" s="7">
        <v>104.63405887149918</v>
      </c>
      <c r="AF30" s="7">
        <v>103.23986866067882</v>
      </c>
      <c r="AG30" s="7">
        <v>102.04694482705139</v>
      </c>
      <c r="AH30" s="7">
        <v>100.98943344986182</v>
      </c>
      <c r="AI30" s="5">
        <f t="shared" si="1"/>
        <v>100</v>
      </c>
      <c r="AJ30" s="3">
        <v>2</v>
      </c>
    </row>
    <row r="31" spans="1:36" x14ac:dyDescent="0.3">
      <c r="E31" s="8">
        <f>E30-$C$5</f>
        <v>-6.3317406873153459E-17</v>
      </c>
      <c r="F31" s="4">
        <f t="shared" si="0"/>
        <v>300</v>
      </c>
      <c r="G31" s="7">
        <v>287.1287964242664</v>
      </c>
      <c r="H31" s="7">
        <v>274.3288285717307</v>
      </c>
      <c r="I31" s="7">
        <v>261.67044111219013</v>
      </c>
      <c r="J31" s="7">
        <v>249.22220970094281</v>
      </c>
      <c r="K31" s="7">
        <v>237.05008892167632</v>
      </c>
      <c r="L31" s="7">
        <v>225.21659839339398</v>
      </c>
      <c r="M31" s="7">
        <v>213.78005849750133</v>
      </c>
      <c r="N31" s="7">
        <v>202.79388615199713</v>
      </c>
      <c r="O31" s="7">
        <v>192.30595983933088</v>
      </c>
      <c r="P31" s="7">
        <v>182.35806172249522</v>
      </c>
      <c r="Q31" s="7">
        <v>172.9854032036119</v>
      </c>
      <c r="R31" s="7">
        <v>164.21623873582917</v>
      </c>
      <c r="S31" s="7">
        <v>156.07157113785956</v>
      </c>
      <c r="T31" s="7">
        <v>148.56495012413896</v>
      </c>
      <c r="U31" s="7">
        <v>141.70236429194318</v>
      </c>
      <c r="V31" s="7">
        <v>135.48222543435207</v>
      </c>
      <c r="W31" s="7">
        <v>129.89544280295905</v>
      </c>
      <c r="X31" s="7">
        <v>124.92558384789986</v>
      </c>
      <c r="Y31" s="7">
        <v>120.54911702881196</v>
      </c>
      <c r="Z31" s="7">
        <v>116.73573152484607</v>
      </c>
      <c r="AA31" s="7">
        <v>113.44872807362285</v>
      </c>
      <c r="AB31" s="7">
        <v>110.64547473011825</v>
      </c>
      <c r="AC31" s="7">
        <v>108.27792104307861</v>
      </c>
      <c r="AD31" s="7">
        <v>106.29316398015965</v>
      </c>
      <c r="AE31" s="7">
        <v>104.63405887149918</v>
      </c>
      <c r="AF31" s="7">
        <v>103.23986866067882</v>
      </c>
      <c r="AG31" s="7">
        <v>102.04694482705139</v>
      </c>
      <c r="AH31" s="7">
        <v>100.98943344986182</v>
      </c>
      <c r="AI31" s="5">
        <f t="shared" si="1"/>
        <v>100</v>
      </c>
      <c r="AJ31" s="3">
        <v>1</v>
      </c>
    </row>
    <row r="32" spans="1:36" x14ac:dyDescent="0.3">
      <c r="E32" s="9"/>
      <c r="F32" s="10">
        <v>0</v>
      </c>
      <c r="G32" s="8">
        <f>F32+$C$4</f>
        <v>3.4482758620689659E-3</v>
      </c>
      <c r="H32" s="8">
        <f t="shared" ref="H32:AI32" si="3">G32+$C$4</f>
        <v>6.8965517241379318E-3</v>
      </c>
      <c r="I32" s="8">
        <f t="shared" si="3"/>
        <v>1.0344827586206898E-2</v>
      </c>
      <c r="J32" s="8">
        <f t="shared" si="3"/>
        <v>1.3793103448275864E-2</v>
      </c>
      <c r="K32" s="8">
        <f t="shared" si="3"/>
        <v>1.7241379310344831E-2</v>
      </c>
      <c r="L32" s="8">
        <f t="shared" si="3"/>
        <v>2.0689655172413796E-2</v>
      </c>
      <c r="M32" s="8">
        <f t="shared" si="3"/>
        <v>2.4137931034482762E-2</v>
      </c>
      <c r="N32" s="8">
        <f t="shared" si="3"/>
        <v>2.7586206896551727E-2</v>
      </c>
      <c r="O32" s="8">
        <f t="shared" si="3"/>
        <v>3.1034482758620693E-2</v>
      </c>
      <c r="P32" s="8">
        <f t="shared" si="3"/>
        <v>3.4482758620689662E-2</v>
      </c>
      <c r="Q32" s="8">
        <f t="shared" si="3"/>
        <v>3.7931034482758627E-2</v>
      </c>
      <c r="R32" s="8">
        <f t="shared" si="3"/>
        <v>4.1379310344827593E-2</v>
      </c>
      <c r="S32" s="8">
        <f t="shared" si="3"/>
        <v>4.4827586206896558E-2</v>
      </c>
      <c r="T32" s="8">
        <f t="shared" si="3"/>
        <v>4.8275862068965524E-2</v>
      </c>
      <c r="U32" s="8">
        <f t="shared" si="3"/>
        <v>5.1724137931034489E-2</v>
      </c>
      <c r="V32" s="8">
        <f t="shared" si="3"/>
        <v>5.5172413793103454E-2</v>
      </c>
      <c r="W32" s="8">
        <f t="shared" si="3"/>
        <v>5.862068965517242E-2</v>
      </c>
      <c r="X32" s="8">
        <f t="shared" si="3"/>
        <v>6.2068965517241385E-2</v>
      </c>
      <c r="Y32" s="8">
        <f t="shared" si="3"/>
        <v>6.5517241379310351E-2</v>
      </c>
      <c r="Z32" s="8">
        <f t="shared" si="3"/>
        <v>6.8965517241379323E-2</v>
      </c>
      <c r="AA32" s="8">
        <f t="shared" si="3"/>
        <v>7.2413793103448296E-2</v>
      </c>
      <c r="AB32" s="8">
        <f t="shared" si="3"/>
        <v>7.5862068965517268E-2</v>
      </c>
      <c r="AC32" s="8">
        <f t="shared" si="3"/>
        <v>7.931034482758624E-2</v>
      </c>
      <c r="AD32" s="8">
        <f t="shared" si="3"/>
        <v>8.2758620689655213E-2</v>
      </c>
      <c r="AE32" s="8">
        <f t="shared" si="3"/>
        <v>8.6206896551724185E-2</v>
      </c>
      <c r="AF32" s="8">
        <f t="shared" si="3"/>
        <v>8.9655172413793158E-2</v>
      </c>
      <c r="AG32" s="8">
        <f t="shared" si="3"/>
        <v>9.310344827586213E-2</v>
      </c>
      <c r="AH32" s="8">
        <f t="shared" si="3"/>
        <v>9.6551724137931103E-2</v>
      </c>
      <c r="AI32" s="10">
        <f t="shared" si="3"/>
        <v>0.10000000000000007</v>
      </c>
    </row>
    <row r="33" spans="5:131" x14ac:dyDescent="0.3">
      <c r="E33" s="16"/>
      <c r="F33" s="11">
        <f>C13</f>
        <v>300</v>
      </c>
      <c r="G33" s="11">
        <f>BS33*H33+CY33</f>
        <v>287.20458331783175</v>
      </c>
      <c r="H33" s="11">
        <f>BT33*I33+CZ33</f>
        <v>274.47945650127724</v>
      </c>
      <c r="I33" s="11">
        <f t="shared" ref="I33:X48" si="4">BU33*J33+DA33</f>
        <v>261.8940321639696</v>
      </c>
      <c r="J33" s="11">
        <f t="shared" si="4"/>
        <v>249.51598121594628</v>
      </c>
      <c r="K33" s="11">
        <f t="shared" si="4"/>
        <v>237.410393742005</v>
      </c>
      <c r="L33" s="11">
        <f t="shared" si="4"/>
        <v>225.638977207251</v>
      </c>
      <c r="M33" s="11">
        <f t="shared" si="4"/>
        <v>214.25930321091408</v>
      </c>
      <c r="N33" s="11">
        <f t="shared" si="4"/>
        <v>203.32411301536473</v>
      </c>
      <c r="O33" s="11">
        <f t="shared" si="4"/>
        <v>192.88069089761203</v>
      </c>
      <c r="P33" s="11">
        <f t="shared" si="4"/>
        <v>182.97031304318821</v>
      </c>
      <c r="Q33" s="11">
        <f t="shared" si="4"/>
        <v>173.62777826859889</v>
      </c>
      <c r="R33" s="11">
        <f t="shared" si="4"/>
        <v>164.88102536165539</v>
      </c>
      <c r="S33" s="11">
        <f t="shared" si="4"/>
        <v>156.75084031219683</v>
      </c>
      <c r="T33" s="11">
        <f t="shared" si="4"/>
        <v>149.25065521039988</v>
      </c>
      <c r="U33" s="11">
        <f t="shared" si="4"/>
        <v>142.38643915412473</v>
      </c>
      <c r="V33" s="11">
        <f t="shared" si="4"/>
        <v>136.15668016384473</v>
      </c>
      <c r="W33" s="11">
        <f t="shared" si="4"/>
        <v>130.55245588106118</v>
      </c>
      <c r="X33" s="11">
        <f t="shared" si="4"/>
        <v>125.55758974443694</v>
      </c>
      <c r="Y33" s="11">
        <f t="shared" ref="Y33:AH48" si="5">CK33*Z33+DQ33</f>
        <v>121.14888841078439</v>
      </c>
      <c r="Z33" s="11">
        <f t="shared" si="5"/>
        <v>117.29645542188661</v>
      </c>
      <c r="AA33" s="11">
        <f t="shared" si="5"/>
        <v>113.96407551228945</v>
      </c>
      <c r="AB33" s="11">
        <f t="shared" si="5"/>
        <v>111.10966350062353</v>
      </c>
      <c r="AC33" s="11">
        <f t="shared" si="5"/>
        <v>108.68577139501502</v>
      </c>
      <c r="AD33" s="11">
        <f t="shared" si="5"/>
        <v>106.64014715446073</v>
      </c>
      <c r="AE33" s="11">
        <f t="shared" si="5"/>
        <v>104.91633846200989</v>
      </c>
      <c r="AF33" s="11">
        <f t="shared" si="5"/>
        <v>103.45433485945031</v>
      </c>
      <c r="AG33" s="11">
        <f t="shared" si="5"/>
        <v>102.19124164338524</v>
      </c>
      <c r="AH33" s="11">
        <f>CT33*AI33+DZ33</f>
        <v>101.06197900608413</v>
      </c>
      <c r="AI33" s="11">
        <f>C14</f>
        <v>100</v>
      </c>
      <c r="AK33" s="17"/>
      <c r="AL33" s="11">
        <f>-($C$10*$C$9*F2)/($C$7)</f>
        <v>-1076400000</v>
      </c>
      <c r="AM33" s="11">
        <f t="shared" ref="AM33:BB48" si="6">-($C$10*$C$9*G2)/($C$7)</f>
        <v>-1030218121.5702672</v>
      </c>
      <c r="AN33" s="11">
        <f t="shared" si="6"/>
        <v>-984291836.91536856</v>
      </c>
      <c r="AO33" s="11">
        <f t="shared" si="6"/>
        <v>-938873542.71053743</v>
      </c>
      <c r="AP33" s="11">
        <f t="shared" si="6"/>
        <v>-894209288.40698183</v>
      </c>
      <c r="AQ33" s="11">
        <f t="shared" si="6"/>
        <v>-850535719.05097377</v>
      </c>
      <c r="AR33" s="11">
        <f t="shared" si="6"/>
        <v>-808077155.03549647</v>
      </c>
      <c r="AS33" s="11">
        <f t="shared" si="6"/>
        <v>-767042849.88903332</v>
      </c>
      <c r="AT33" s="11">
        <f t="shared" si="6"/>
        <v>-727624463.51336432</v>
      </c>
      <c r="AU33" s="11">
        <f t="shared" si="6"/>
        <v>-689993783.90351784</v>
      </c>
      <c r="AV33" s="11">
        <f t="shared" si="6"/>
        <v>-654300725.46031141</v>
      </c>
      <c r="AW33" s="11">
        <f t="shared" si="6"/>
        <v>-620671626.69455802</v>
      </c>
      <c r="AX33" s="11">
        <f t="shared" si="6"/>
        <v>-589207864.58415353</v>
      </c>
      <c r="AY33" s="11">
        <f t="shared" si="6"/>
        <v>-559984797.24263859</v>
      </c>
      <c r="AZ33" s="11">
        <f t="shared" si="6"/>
        <v>-533051041.04540914</v>
      </c>
      <c r="BA33" s="11">
        <f t="shared" si="6"/>
        <v>-508428083.07949072</v>
      </c>
      <c r="BB33" s="11">
        <f t="shared" si="6"/>
        <v>-486110224.85845399</v>
      </c>
      <c r="BC33" s="11">
        <f t="shared" ref="BC33:BO48" si="7">-($C$10*$C$9*W2)/($C$7)</f>
        <v>-466064848.77701575</v>
      </c>
      <c r="BD33" s="11">
        <f t="shared" si="7"/>
        <v>-448232994.84626329</v>
      </c>
      <c r="BE33" s="11">
        <f t="shared" si="7"/>
        <v>-432530231.89937609</v>
      </c>
      <c r="BF33" s="11">
        <f t="shared" si="7"/>
        <v>-418847804.71114671</v>
      </c>
      <c r="BG33" s="11">
        <f t="shared" si="7"/>
        <v>-407054036.32815784</v>
      </c>
      <c r="BH33" s="11">
        <f t="shared" si="7"/>
        <v>-396995963.33166343</v>
      </c>
      <c r="BI33" s="11">
        <f t="shared" si="7"/>
        <v>-388501180.70256531</v>
      </c>
      <c r="BJ33" s="11">
        <f t="shared" si="7"/>
        <v>-381379872.36081213</v>
      </c>
      <c r="BK33" s="11">
        <f t="shared" si="7"/>
        <v>-375427003.23093832</v>
      </c>
      <c r="BL33" s="11">
        <f t="shared" si="7"/>
        <v>-370424648.75451505</v>
      </c>
      <c r="BM33" s="11">
        <f t="shared" si="7"/>
        <v>-366144438.03946006</v>
      </c>
      <c r="BN33" s="11">
        <f t="shared" si="7"/>
        <v>-362350087.21810389</v>
      </c>
      <c r="BO33" s="11">
        <f t="shared" si="7"/>
        <v>-358800000</v>
      </c>
      <c r="BQ33" s="16"/>
      <c r="BR33" s="11">
        <v>0</v>
      </c>
      <c r="BS33" s="11">
        <f>$C$16/($C$17-$C$18*BR33)</f>
        <v>0.3415922014622258</v>
      </c>
      <c r="BT33" s="11">
        <f t="shared" ref="BT33:CI33" si="8">$C$16/($C$17-$C$18*BS33)</f>
        <v>0.3867162803971414</v>
      </c>
      <c r="BU33" s="11">
        <f t="shared" si="8"/>
        <v>0.39358441341045353</v>
      </c>
      <c r="BV33" s="11">
        <f t="shared" si="8"/>
        <v>0.39465123071155611</v>
      </c>
      <c r="BW33" s="11">
        <f t="shared" si="8"/>
        <v>0.39481745705771337</v>
      </c>
      <c r="BX33" s="11">
        <f t="shared" si="8"/>
        <v>0.39484337025824801</v>
      </c>
      <c r="BY33" s="11">
        <f t="shared" si="8"/>
        <v>0.39484741020089792</v>
      </c>
      <c r="BZ33" s="11">
        <f t="shared" si="8"/>
        <v>0.39484804004704999</v>
      </c>
      <c r="CA33" s="11">
        <f t="shared" si="8"/>
        <v>0.39484813824322279</v>
      </c>
      <c r="CB33" s="11">
        <f t="shared" si="8"/>
        <v>0.39484815355250286</v>
      </c>
      <c r="CC33" s="11">
        <f t="shared" si="8"/>
        <v>0.39484815593929717</v>
      </c>
      <c r="CD33" s="11">
        <f t="shared" si="8"/>
        <v>0.39484815631141046</v>
      </c>
      <c r="CE33" s="11">
        <f t="shared" si="8"/>
        <v>0.39484815636942483</v>
      </c>
      <c r="CF33" s="11">
        <f t="shared" si="8"/>
        <v>0.39484815637846954</v>
      </c>
      <c r="CG33" s="11">
        <f t="shared" si="8"/>
        <v>0.39484815637987963</v>
      </c>
      <c r="CH33" s="11">
        <f t="shared" si="8"/>
        <v>0.39484815638009951</v>
      </c>
      <c r="CI33" s="11">
        <f t="shared" si="8"/>
        <v>0.39484815638013382</v>
      </c>
      <c r="CJ33" s="11">
        <f t="shared" ref="CI33:CU48" si="9">$C$16/($C$17-$C$18*CI33)</f>
        <v>0.39484815638013915</v>
      </c>
      <c r="CK33" s="11">
        <f t="shared" si="9"/>
        <v>0.39484815638013998</v>
      </c>
      <c r="CL33" s="11">
        <f t="shared" si="9"/>
        <v>0.39484815638014015</v>
      </c>
      <c r="CM33" s="11">
        <f t="shared" si="9"/>
        <v>0.39484815638014015</v>
      </c>
      <c r="CN33" s="11">
        <f t="shared" si="9"/>
        <v>0.39484815638014015</v>
      </c>
      <c r="CO33" s="11">
        <f t="shared" si="9"/>
        <v>0.39484815638014015</v>
      </c>
      <c r="CP33" s="11">
        <f t="shared" si="9"/>
        <v>0.39484815638014015</v>
      </c>
      <c r="CQ33" s="11">
        <f t="shared" si="9"/>
        <v>0.39484815638014015</v>
      </c>
      <c r="CR33" s="11">
        <f t="shared" si="9"/>
        <v>0.39484815638014015</v>
      </c>
      <c r="CS33" s="11">
        <f t="shared" si="9"/>
        <v>0.39484815638014015</v>
      </c>
      <c r="CT33" s="11">
        <f t="shared" si="9"/>
        <v>0.39484815638014015</v>
      </c>
      <c r="CU33" s="11">
        <f>$C$16/($C$17-$C$18*CT33)</f>
        <v>0.39484815638014015</v>
      </c>
      <c r="CW33" s="16"/>
      <c r="CX33" s="11">
        <f>F33</f>
        <v>300</v>
      </c>
      <c r="CY33" s="11">
        <f>($C$18*CX33-AM33)/($C$17-$C$18*BR33)</f>
        <v>193.44454151540521</v>
      </c>
      <c r="CZ33" s="11">
        <f t="shared" ref="CZ33:DO48" si="10">($C$18*CY33-AN33)/($C$17-$C$18*BS33)</f>
        <v>173.20077052461761</v>
      </c>
      <c r="DA33" s="11">
        <f t="shared" si="10"/>
        <v>163.68843106055763</v>
      </c>
      <c r="DB33" s="11">
        <f t="shared" si="10"/>
        <v>155.8216771419489</v>
      </c>
      <c r="DC33" s="11">
        <f t="shared" si="10"/>
        <v>148.3241865479348</v>
      </c>
      <c r="DD33" s="11">
        <f t="shared" si="10"/>
        <v>141.04011181826982</v>
      </c>
      <c r="DE33" s="11">
        <f t="shared" si="10"/>
        <v>133.97730375540266</v>
      </c>
      <c r="DF33" s="11">
        <f t="shared" si="10"/>
        <v>127.16555025152174</v>
      </c>
      <c r="DG33" s="11">
        <f t="shared" si="10"/>
        <v>120.63520343872949</v>
      </c>
      <c r="DH33" s="11">
        <f t="shared" si="10"/>
        <v>114.41370538840856</v>
      </c>
      <c r="DI33" s="11">
        <f t="shared" si="10"/>
        <v>108.52480945516878</v>
      </c>
      <c r="DJ33" s="11">
        <f t="shared" si="10"/>
        <v>102.98824506412016</v>
      </c>
      <c r="DK33" s="11">
        <f t="shared" si="10"/>
        <v>97.819494265441747</v>
      </c>
      <c r="DL33" s="11">
        <f t="shared" si="10"/>
        <v>93.029632217098609</v>
      </c>
      <c r="DM33" s="11">
        <f t="shared" si="10"/>
        <v>88.625225012625705</v>
      </c>
      <c r="DN33" s="11">
        <f t="shared" si="10"/>
        <v>84.608283648313432</v>
      </c>
      <c r="DO33" s="11">
        <f t="shared" si="10"/>
        <v>80.976273050937067</v>
      </c>
      <c r="DP33" s="11">
        <f t="shared" ref="DP33:EA48" si="11">($C$18*DO33-BD33)/($C$17-$C$18*CI33)</f>
        <v>77.722174507935506</v>
      </c>
      <c r="DQ33" s="11">
        <f t="shared" si="11"/>
        <v>74.834599237527186</v>
      </c>
      <c r="DR33" s="11">
        <f t="shared" si="11"/>
        <v>72.297950312292045</v>
      </c>
      <c r="DS33" s="11">
        <f t="shared" si="11"/>
        <v>70.092629723050507</v>
      </c>
      <c r="DT33" s="11">
        <f t="shared" si="11"/>
        <v>68.195287040548465</v>
      </c>
      <c r="DU33" s="11">
        <f t="shared" si="11"/>
        <v>66.579105894969359</v>
      </c>
      <c r="DV33" s="11">
        <f t="shared" si="11"/>
        <v>65.214124338581342</v>
      </c>
      <c r="DW33" s="11">
        <f t="shared" si="11"/>
        <v>64.067585073222276</v>
      </c>
      <c r="DX33" s="11">
        <f t="shared" si="11"/>
        <v>63.10431149836225</v>
      </c>
      <c r="DY33" s="11">
        <f t="shared" si="11"/>
        <v>62.287105552704496</v>
      </c>
      <c r="DZ33" s="11">
        <f t="shared" si="11"/>
        <v>61.577163368070117</v>
      </c>
      <c r="EA33" s="11">
        <f>($C$18*DZ33-BO33)/($C$17-$C$18*CT33)</f>
        <v>60.934504814652719</v>
      </c>
    </row>
    <row r="34" spans="5:131" x14ac:dyDescent="0.3">
      <c r="E34" s="16"/>
      <c r="F34" s="11">
        <f>F33</f>
        <v>300</v>
      </c>
      <c r="G34" s="12">
        <f t="shared" ref="G34:V49" si="12">BS34*H34+CY34</f>
        <v>287.20458331783175</v>
      </c>
      <c r="H34" s="12">
        <f t="shared" si="12"/>
        <v>274.47945650127724</v>
      </c>
      <c r="I34" s="12">
        <f t="shared" si="12"/>
        <v>261.8940321639696</v>
      </c>
      <c r="J34" s="12">
        <f t="shared" si="12"/>
        <v>249.51598121594628</v>
      </c>
      <c r="K34" s="12">
        <f t="shared" si="12"/>
        <v>237.410393742005</v>
      </c>
      <c r="L34" s="12">
        <f t="shared" si="12"/>
        <v>225.638977207251</v>
      </c>
      <c r="M34" s="12">
        <f t="shared" si="12"/>
        <v>214.25930321091408</v>
      </c>
      <c r="N34" s="12">
        <f t="shared" si="12"/>
        <v>203.32411301536473</v>
      </c>
      <c r="O34" s="12">
        <f t="shared" si="12"/>
        <v>192.88069089761203</v>
      </c>
      <c r="P34" s="12">
        <f t="shared" si="12"/>
        <v>182.97031304318821</v>
      </c>
      <c r="Q34" s="12">
        <f t="shared" si="12"/>
        <v>173.62777826859889</v>
      </c>
      <c r="R34" s="12">
        <f t="shared" si="12"/>
        <v>164.88102536165539</v>
      </c>
      <c r="S34" s="12">
        <f t="shared" si="12"/>
        <v>156.75084031219683</v>
      </c>
      <c r="T34" s="12">
        <f t="shared" si="12"/>
        <v>149.25065521039988</v>
      </c>
      <c r="U34" s="12">
        <f t="shared" si="12"/>
        <v>142.38643915412473</v>
      </c>
      <c r="V34" s="12">
        <f t="shared" si="12"/>
        <v>136.15668016384473</v>
      </c>
      <c r="W34" s="12">
        <f t="shared" si="4"/>
        <v>130.55245588106118</v>
      </c>
      <c r="X34" s="12">
        <f t="shared" si="4"/>
        <v>125.55758974443694</v>
      </c>
      <c r="Y34" s="12">
        <f t="shared" si="5"/>
        <v>121.14888841078439</v>
      </c>
      <c r="Z34" s="12">
        <f t="shared" si="5"/>
        <v>117.29645542188661</v>
      </c>
      <c r="AA34" s="12">
        <f t="shared" si="5"/>
        <v>113.96407551228945</v>
      </c>
      <c r="AB34" s="12">
        <f t="shared" si="5"/>
        <v>111.10966350062353</v>
      </c>
      <c r="AC34" s="12">
        <f t="shared" si="5"/>
        <v>108.68577139501502</v>
      </c>
      <c r="AD34" s="12">
        <f t="shared" si="5"/>
        <v>106.64014715446073</v>
      </c>
      <c r="AE34" s="12">
        <f t="shared" si="5"/>
        <v>104.91633846200989</v>
      </c>
      <c r="AF34" s="12">
        <f t="shared" si="5"/>
        <v>103.45433485945031</v>
      </c>
      <c r="AG34" s="12">
        <f t="shared" si="5"/>
        <v>102.19124164338524</v>
      </c>
      <c r="AH34" s="12">
        <f t="shared" si="5"/>
        <v>101.06197900608413</v>
      </c>
      <c r="AI34" s="11">
        <f>AI33</f>
        <v>100</v>
      </c>
      <c r="AK34" s="17"/>
      <c r="AL34" s="11">
        <f t="shared" ref="AL34:BA62" si="13">-($C$10*$C$9*F3)/($C$7)</f>
        <v>-1076400000</v>
      </c>
      <c r="AM34" s="12">
        <f t="shared" si="6"/>
        <v>-1030218121.5702672</v>
      </c>
      <c r="AN34" s="12">
        <f t="shared" si="6"/>
        <v>-984291836.91536856</v>
      </c>
      <c r="AO34" s="12">
        <f t="shared" si="6"/>
        <v>-938873542.71053743</v>
      </c>
      <c r="AP34" s="12">
        <f t="shared" si="6"/>
        <v>-894209288.40698183</v>
      </c>
      <c r="AQ34" s="12">
        <f t="shared" si="6"/>
        <v>-850535719.05097377</v>
      </c>
      <c r="AR34" s="12">
        <f t="shared" si="6"/>
        <v>-808077155.03549647</v>
      </c>
      <c r="AS34" s="12">
        <f t="shared" si="6"/>
        <v>-767042849.88903332</v>
      </c>
      <c r="AT34" s="12">
        <f t="shared" si="6"/>
        <v>-727624463.51336432</v>
      </c>
      <c r="AU34" s="12">
        <f t="shared" si="6"/>
        <v>-689993783.90351784</v>
      </c>
      <c r="AV34" s="12">
        <f t="shared" si="6"/>
        <v>-654300725.46031141</v>
      </c>
      <c r="AW34" s="12">
        <f t="shared" si="6"/>
        <v>-620671626.69455802</v>
      </c>
      <c r="AX34" s="12">
        <f t="shared" si="6"/>
        <v>-589207864.58415353</v>
      </c>
      <c r="AY34" s="12">
        <f t="shared" si="6"/>
        <v>-559984797.24263859</v>
      </c>
      <c r="AZ34" s="12">
        <f t="shared" si="6"/>
        <v>-533051041.04540914</v>
      </c>
      <c r="BA34" s="12">
        <f t="shared" si="6"/>
        <v>-508428083.07949072</v>
      </c>
      <c r="BB34" s="12">
        <f t="shared" si="6"/>
        <v>-486110224.85845399</v>
      </c>
      <c r="BC34" s="12">
        <f t="shared" si="7"/>
        <v>-466064848.77701575</v>
      </c>
      <c r="BD34" s="12">
        <f t="shared" si="7"/>
        <v>-448232994.84626329</v>
      </c>
      <c r="BE34" s="12">
        <f t="shared" si="7"/>
        <v>-432530231.89937609</v>
      </c>
      <c r="BF34" s="12">
        <f t="shared" si="7"/>
        <v>-418847804.71114671</v>
      </c>
      <c r="BG34" s="12">
        <f t="shared" si="7"/>
        <v>-407054036.32815784</v>
      </c>
      <c r="BH34" s="12">
        <f t="shared" si="7"/>
        <v>-396995963.33166343</v>
      </c>
      <c r="BI34" s="12">
        <f t="shared" si="7"/>
        <v>-388501180.70256531</v>
      </c>
      <c r="BJ34" s="12">
        <f t="shared" si="7"/>
        <v>-381379872.36081213</v>
      </c>
      <c r="BK34" s="12">
        <f t="shared" si="7"/>
        <v>-375427003.23093832</v>
      </c>
      <c r="BL34" s="12">
        <f t="shared" si="7"/>
        <v>-370424648.75451505</v>
      </c>
      <c r="BM34" s="12">
        <f t="shared" si="7"/>
        <v>-366144438.03946006</v>
      </c>
      <c r="BN34" s="12">
        <f t="shared" si="7"/>
        <v>-362350087.21810389</v>
      </c>
      <c r="BO34" s="11">
        <f t="shared" si="7"/>
        <v>-358800000</v>
      </c>
      <c r="BQ34" s="16"/>
      <c r="BR34" s="11">
        <v>0</v>
      </c>
      <c r="BS34" s="12">
        <f t="shared" ref="BS34:CH49" si="14">$C$16/($C$17-$C$18*BR34)</f>
        <v>0.3415922014622258</v>
      </c>
      <c r="BT34" s="12">
        <f t="shared" si="14"/>
        <v>0.3867162803971414</v>
      </c>
      <c r="BU34" s="12">
        <f t="shared" si="14"/>
        <v>0.39358441341045353</v>
      </c>
      <c r="BV34" s="12">
        <f t="shared" si="14"/>
        <v>0.39465123071155611</v>
      </c>
      <c r="BW34" s="12">
        <f t="shared" si="14"/>
        <v>0.39481745705771337</v>
      </c>
      <c r="BX34" s="12">
        <f t="shared" si="14"/>
        <v>0.39484337025824801</v>
      </c>
      <c r="BY34" s="12">
        <f t="shared" si="14"/>
        <v>0.39484741020089792</v>
      </c>
      <c r="BZ34" s="12">
        <f t="shared" si="14"/>
        <v>0.39484804004704999</v>
      </c>
      <c r="CA34" s="12">
        <f t="shared" si="14"/>
        <v>0.39484813824322279</v>
      </c>
      <c r="CB34" s="12">
        <f t="shared" si="14"/>
        <v>0.39484815355250286</v>
      </c>
      <c r="CC34" s="12">
        <f t="shared" si="14"/>
        <v>0.39484815593929717</v>
      </c>
      <c r="CD34" s="12">
        <f t="shared" si="14"/>
        <v>0.39484815631141046</v>
      </c>
      <c r="CE34" s="12">
        <f t="shared" si="14"/>
        <v>0.39484815636942483</v>
      </c>
      <c r="CF34" s="12">
        <f t="shared" si="14"/>
        <v>0.39484815637846954</v>
      </c>
      <c r="CG34" s="12">
        <f t="shared" si="14"/>
        <v>0.39484815637987963</v>
      </c>
      <c r="CH34" s="12">
        <f t="shared" si="14"/>
        <v>0.39484815638009951</v>
      </c>
      <c r="CI34" s="12">
        <f t="shared" si="9"/>
        <v>0.39484815638013382</v>
      </c>
      <c r="CJ34" s="12">
        <f t="shared" si="9"/>
        <v>0.39484815638013915</v>
      </c>
      <c r="CK34" s="12">
        <f t="shared" si="9"/>
        <v>0.39484815638013998</v>
      </c>
      <c r="CL34" s="12">
        <f t="shared" si="9"/>
        <v>0.39484815638014015</v>
      </c>
      <c r="CM34" s="12">
        <f t="shared" si="9"/>
        <v>0.39484815638014015</v>
      </c>
      <c r="CN34" s="12">
        <f t="shared" si="9"/>
        <v>0.39484815638014015</v>
      </c>
      <c r="CO34" s="12">
        <f t="shared" si="9"/>
        <v>0.39484815638014015</v>
      </c>
      <c r="CP34" s="12">
        <f t="shared" si="9"/>
        <v>0.39484815638014015</v>
      </c>
      <c r="CQ34" s="12">
        <f t="shared" si="9"/>
        <v>0.39484815638014015</v>
      </c>
      <c r="CR34" s="12">
        <f t="shared" si="9"/>
        <v>0.39484815638014015</v>
      </c>
      <c r="CS34" s="12">
        <f t="shared" si="9"/>
        <v>0.39484815638014015</v>
      </c>
      <c r="CT34" s="12">
        <f t="shared" si="9"/>
        <v>0.39484815638014015</v>
      </c>
      <c r="CU34" s="11">
        <f t="shared" si="9"/>
        <v>0.39484815638014015</v>
      </c>
      <c r="CW34" s="16"/>
      <c r="CX34" s="11">
        <f t="shared" ref="CX34:CX62" si="15">F34</f>
        <v>300</v>
      </c>
      <c r="CY34" s="12">
        <f t="shared" ref="CY34:DN62" si="16">($C$18*CX34-AM34)/($C$17-$C$18*BR34)</f>
        <v>193.44454151540521</v>
      </c>
      <c r="CZ34" s="12">
        <f t="shared" si="10"/>
        <v>173.20077052461761</v>
      </c>
      <c r="DA34" s="12">
        <f t="shared" si="10"/>
        <v>163.68843106055763</v>
      </c>
      <c r="DB34" s="12">
        <f t="shared" si="10"/>
        <v>155.8216771419489</v>
      </c>
      <c r="DC34" s="12">
        <f t="shared" si="10"/>
        <v>148.3241865479348</v>
      </c>
      <c r="DD34" s="12">
        <f t="shared" si="10"/>
        <v>141.04011181826982</v>
      </c>
      <c r="DE34" s="12">
        <f t="shared" si="10"/>
        <v>133.97730375540266</v>
      </c>
      <c r="DF34" s="12">
        <f t="shared" si="10"/>
        <v>127.16555025152174</v>
      </c>
      <c r="DG34" s="12">
        <f t="shared" si="10"/>
        <v>120.63520343872949</v>
      </c>
      <c r="DH34" s="12">
        <f t="shared" si="10"/>
        <v>114.41370538840856</v>
      </c>
      <c r="DI34" s="12">
        <f t="shared" si="10"/>
        <v>108.52480945516878</v>
      </c>
      <c r="DJ34" s="12">
        <f t="shared" si="10"/>
        <v>102.98824506412016</v>
      </c>
      <c r="DK34" s="12">
        <f t="shared" si="10"/>
        <v>97.819494265441747</v>
      </c>
      <c r="DL34" s="12">
        <f t="shared" si="10"/>
        <v>93.029632217098609</v>
      </c>
      <c r="DM34" s="12">
        <f t="shared" si="10"/>
        <v>88.625225012625705</v>
      </c>
      <c r="DN34" s="12">
        <f t="shared" si="10"/>
        <v>84.608283648313432</v>
      </c>
      <c r="DO34" s="12">
        <f t="shared" si="10"/>
        <v>80.976273050937067</v>
      </c>
      <c r="DP34" s="12">
        <f t="shared" si="11"/>
        <v>77.722174507935506</v>
      </c>
      <c r="DQ34" s="12">
        <f t="shared" si="11"/>
        <v>74.834599237527186</v>
      </c>
      <c r="DR34" s="12">
        <f t="shared" si="11"/>
        <v>72.297950312292045</v>
      </c>
      <c r="DS34" s="12">
        <f t="shared" si="11"/>
        <v>70.092629723050507</v>
      </c>
      <c r="DT34" s="12">
        <f t="shared" si="11"/>
        <v>68.195287040548465</v>
      </c>
      <c r="DU34" s="12">
        <f t="shared" si="11"/>
        <v>66.579105894969359</v>
      </c>
      <c r="DV34" s="12">
        <f t="shared" si="11"/>
        <v>65.214124338581342</v>
      </c>
      <c r="DW34" s="12">
        <f t="shared" si="11"/>
        <v>64.067585073222276</v>
      </c>
      <c r="DX34" s="12">
        <f t="shared" si="11"/>
        <v>63.10431149836225</v>
      </c>
      <c r="DY34" s="12">
        <f t="shared" si="11"/>
        <v>62.287105552704496</v>
      </c>
      <c r="DZ34" s="12">
        <f t="shared" si="11"/>
        <v>61.577163368070117</v>
      </c>
      <c r="EA34" s="11">
        <f t="shared" si="11"/>
        <v>60.934504814652719</v>
      </c>
    </row>
    <row r="35" spans="5:131" x14ac:dyDescent="0.3">
      <c r="E35" s="16"/>
      <c r="F35" s="11">
        <f t="shared" ref="F35:F62" si="17">F34</f>
        <v>300</v>
      </c>
      <c r="G35" s="12">
        <f t="shared" si="12"/>
        <v>287.20458331783175</v>
      </c>
      <c r="H35" s="12">
        <f t="shared" si="12"/>
        <v>274.47945650127724</v>
      </c>
      <c r="I35" s="12">
        <f t="shared" si="12"/>
        <v>261.8940321639696</v>
      </c>
      <c r="J35" s="12">
        <f t="shared" si="12"/>
        <v>249.51598121594628</v>
      </c>
      <c r="K35" s="12">
        <f t="shared" si="12"/>
        <v>237.410393742005</v>
      </c>
      <c r="L35" s="12">
        <f t="shared" si="12"/>
        <v>225.638977207251</v>
      </c>
      <c r="M35" s="12">
        <f t="shared" si="12"/>
        <v>214.25930321091408</v>
      </c>
      <c r="N35" s="12">
        <f t="shared" si="12"/>
        <v>203.32411301536473</v>
      </c>
      <c r="O35" s="12">
        <f t="shared" si="12"/>
        <v>192.88069089761203</v>
      </c>
      <c r="P35" s="12">
        <f t="shared" si="12"/>
        <v>182.97031304318821</v>
      </c>
      <c r="Q35" s="12">
        <f t="shared" si="12"/>
        <v>173.62777826859889</v>
      </c>
      <c r="R35" s="12">
        <f t="shared" si="12"/>
        <v>164.88102536165542</v>
      </c>
      <c r="S35" s="12">
        <f t="shared" si="12"/>
        <v>156.75084031219686</v>
      </c>
      <c r="T35" s="12">
        <f t="shared" si="12"/>
        <v>149.25065521039988</v>
      </c>
      <c r="U35" s="12">
        <f t="shared" si="12"/>
        <v>142.38643915412473</v>
      </c>
      <c r="V35" s="12">
        <f t="shared" si="12"/>
        <v>136.15668016384473</v>
      </c>
      <c r="W35" s="12">
        <f t="shared" si="4"/>
        <v>130.55245588106118</v>
      </c>
      <c r="X35" s="12">
        <f t="shared" si="4"/>
        <v>125.55758974443694</v>
      </c>
      <c r="Y35" s="12">
        <f t="shared" si="5"/>
        <v>121.14888841078439</v>
      </c>
      <c r="Z35" s="12">
        <f t="shared" si="5"/>
        <v>117.29645542188661</v>
      </c>
      <c r="AA35" s="12">
        <f t="shared" si="5"/>
        <v>113.96407551228945</v>
      </c>
      <c r="AB35" s="12">
        <f t="shared" si="5"/>
        <v>111.10966350062353</v>
      </c>
      <c r="AC35" s="12">
        <f t="shared" si="5"/>
        <v>108.68577139501502</v>
      </c>
      <c r="AD35" s="12">
        <f t="shared" si="5"/>
        <v>106.64014715446073</v>
      </c>
      <c r="AE35" s="12">
        <f t="shared" si="5"/>
        <v>104.91633846200989</v>
      </c>
      <c r="AF35" s="12">
        <f t="shared" si="5"/>
        <v>103.45433485945031</v>
      </c>
      <c r="AG35" s="12">
        <f t="shared" si="5"/>
        <v>102.19124164338524</v>
      </c>
      <c r="AH35" s="12">
        <f t="shared" si="5"/>
        <v>101.06197900608413</v>
      </c>
      <c r="AI35" s="11">
        <f t="shared" ref="AI35:AI62" si="18">AI34</f>
        <v>100</v>
      </c>
      <c r="AK35" s="17"/>
      <c r="AL35" s="11">
        <f t="shared" si="13"/>
        <v>-1076400000</v>
      </c>
      <c r="AM35" s="12">
        <f t="shared" si="6"/>
        <v>-1030218121.5702672</v>
      </c>
      <c r="AN35" s="12">
        <f t="shared" si="6"/>
        <v>-984291836.91536856</v>
      </c>
      <c r="AO35" s="12">
        <f t="shared" si="6"/>
        <v>-938873542.71053743</v>
      </c>
      <c r="AP35" s="12">
        <f t="shared" si="6"/>
        <v>-894209288.40698183</v>
      </c>
      <c r="AQ35" s="12">
        <f t="shared" si="6"/>
        <v>-850535719.05097377</v>
      </c>
      <c r="AR35" s="12">
        <f t="shared" si="6"/>
        <v>-808077155.03549647</v>
      </c>
      <c r="AS35" s="12">
        <f t="shared" si="6"/>
        <v>-767042849.88903332</v>
      </c>
      <c r="AT35" s="12">
        <f t="shared" si="6"/>
        <v>-727624463.51336432</v>
      </c>
      <c r="AU35" s="12">
        <f t="shared" si="6"/>
        <v>-689993783.90351784</v>
      </c>
      <c r="AV35" s="12">
        <f t="shared" si="6"/>
        <v>-654300725.46031141</v>
      </c>
      <c r="AW35" s="12">
        <f t="shared" si="6"/>
        <v>-620671626.69455802</v>
      </c>
      <c r="AX35" s="12">
        <f t="shared" si="6"/>
        <v>-589207864.58415353</v>
      </c>
      <c r="AY35" s="12">
        <f t="shared" si="6"/>
        <v>-559984797.24263871</v>
      </c>
      <c r="AZ35" s="12">
        <f t="shared" si="6"/>
        <v>-533051041.04540914</v>
      </c>
      <c r="BA35" s="12">
        <f t="shared" si="6"/>
        <v>-508428083.07949072</v>
      </c>
      <c r="BB35" s="12">
        <f t="shared" si="6"/>
        <v>-486110224.85845399</v>
      </c>
      <c r="BC35" s="12">
        <f t="shared" si="7"/>
        <v>-466064848.77701575</v>
      </c>
      <c r="BD35" s="12">
        <f t="shared" si="7"/>
        <v>-448232994.84626329</v>
      </c>
      <c r="BE35" s="12">
        <f t="shared" si="7"/>
        <v>-432530231.89937609</v>
      </c>
      <c r="BF35" s="12">
        <f t="shared" si="7"/>
        <v>-418847804.71114671</v>
      </c>
      <c r="BG35" s="12">
        <f t="shared" si="7"/>
        <v>-407054036.32815784</v>
      </c>
      <c r="BH35" s="12">
        <f t="shared" si="7"/>
        <v>-396995963.33166343</v>
      </c>
      <c r="BI35" s="12">
        <f t="shared" si="7"/>
        <v>-388501180.70256531</v>
      </c>
      <c r="BJ35" s="12">
        <f t="shared" si="7"/>
        <v>-381379872.36081213</v>
      </c>
      <c r="BK35" s="12">
        <f t="shared" si="7"/>
        <v>-375427003.23093832</v>
      </c>
      <c r="BL35" s="12">
        <f t="shared" si="7"/>
        <v>-370424648.75451505</v>
      </c>
      <c r="BM35" s="12">
        <f t="shared" si="7"/>
        <v>-366144438.03946006</v>
      </c>
      <c r="BN35" s="12">
        <f t="shared" si="7"/>
        <v>-362350087.21810389</v>
      </c>
      <c r="BO35" s="11">
        <f t="shared" si="7"/>
        <v>-358800000</v>
      </c>
      <c r="BQ35" s="16"/>
      <c r="BR35" s="11">
        <v>0</v>
      </c>
      <c r="BS35" s="12">
        <f t="shared" si="14"/>
        <v>0.3415922014622258</v>
      </c>
      <c r="BT35" s="12">
        <f t="shared" si="14"/>
        <v>0.3867162803971414</v>
      </c>
      <c r="BU35" s="12">
        <f t="shared" si="14"/>
        <v>0.39358441341045353</v>
      </c>
      <c r="BV35" s="12">
        <f t="shared" si="14"/>
        <v>0.39465123071155611</v>
      </c>
      <c r="BW35" s="12">
        <f t="shared" si="14"/>
        <v>0.39481745705771337</v>
      </c>
      <c r="BX35" s="12">
        <f t="shared" si="14"/>
        <v>0.39484337025824801</v>
      </c>
      <c r="BY35" s="12">
        <f t="shared" si="14"/>
        <v>0.39484741020089792</v>
      </c>
      <c r="BZ35" s="12">
        <f t="shared" si="14"/>
        <v>0.39484804004704999</v>
      </c>
      <c r="CA35" s="12">
        <f t="shared" si="14"/>
        <v>0.39484813824322279</v>
      </c>
      <c r="CB35" s="12">
        <f t="shared" si="14"/>
        <v>0.39484815355250286</v>
      </c>
      <c r="CC35" s="12">
        <f t="shared" si="14"/>
        <v>0.39484815593929717</v>
      </c>
      <c r="CD35" s="12">
        <f t="shared" si="14"/>
        <v>0.39484815631141046</v>
      </c>
      <c r="CE35" s="12">
        <f t="shared" si="14"/>
        <v>0.39484815636942483</v>
      </c>
      <c r="CF35" s="12">
        <f t="shared" si="14"/>
        <v>0.39484815637846954</v>
      </c>
      <c r="CG35" s="12">
        <f t="shared" si="14"/>
        <v>0.39484815637987963</v>
      </c>
      <c r="CH35" s="12">
        <f t="shared" si="14"/>
        <v>0.39484815638009951</v>
      </c>
      <c r="CI35" s="12">
        <f t="shared" si="9"/>
        <v>0.39484815638013382</v>
      </c>
      <c r="CJ35" s="12">
        <f t="shared" si="9"/>
        <v>0.39484815638013915</v>
      </c>
      <c r="CK35" s="12">
        <f t="shared" si="9"/>
        <v>0.39484815638013998</v>
      </c>
      <c r="CL35" s="12">
        <f t="shared" si="9"/>
        <v>0.39484815638014015</v>
      </c>
      <c r="CM35" s="12">
        <f t="shared" si="9"/>
        <v>0.39484815638014015</v>
      </c>
      <c r="CN35" s="12">
        <f t="shared" si="9"/>
        <v>0.39484815638014015</v>
      </c>
      <c r="CO35" s="12">
        <f t="shared" si="9"/>
        <v>0.39484815638014015</v>
      </c>
      <c r="CP35" s="12">
        <f t="shared" si="9"/>
        <v>0.39484815638014015</v>
      </c>
      <c r="CQ35" s="12">
        <f t="shared" si="9"/>
        <v>0.39484815638014015</v>
      </c>
      <c r="CR35" s="12">
        <f t="shared" si="9"/>
        <v>0.39484815638014015</v>
      </c>
      <c r="CS35" s="12">
        <f t="shared" si="9"/>
        <v>0.39484815638014015</v>
      </c>
      <c r="CT35" s="12">
        <f t="shared" si="9"/>
        <v>0.39484815638014015</v>
      </c>
      <c r="CU35" s="11">
        <f t="shared" si="9"/>
        <v>0.39484815638014015</v>
      </c>
      <c r="CW35" s="16"/>
      <c r="CX35" s="11">
        <f t="shared" si="15"/>
        <v>300</v>
      </c>
      <c r="CY35" s="12">
        <f t="shared" si="16"/>
        <v>193.44454151540521</v>
      </c>
      <c r="CZ35" s="12">
        <f t="shared" si="10"/>
        <v>173.20077052461761</v>
      </c>
      <c r="DA35" s="12">
        <f t="shared" si="10"/>
        <v>163.68843106055763</v>
      </c>
      <c r="DB35" s="12">
        <f t="shared" si="10"/>
        <v>155.8216771419489</v>
      </c>
      <c r="DC35" s="12">
        <f t="shared" si="10"/>
        <v>148.3241865479348</v>
      </c>
      <c r="DD35" s="12">
        <f t="shared" si="10"/>
        <v>141.04011181826982</v>
      </c>
      <c r="DE35" s="12">
        <f t="shared" si="10"/>
        <v>133.97730375540266</v>
      </c>
      <c r="DF35" s="12">
        <f t="shared" si="10"/>
        <v>127.16555025152174</v>
      </c>
      <c r="DG35" s="12">
        <f t="shared" si="10"/>
        <v>120.63520343872949</v>
      </c>
      <c r="DH35" s="12">
        <f t="shared" si="10"/>
        <v>114.41370538840856</v>
      </c>
      <c r="DI35" s="12">
        <f t="shared" si="10"/>
        <v>108.52480945516878</v>
      </c>
      <c r="DJ35" s="12">
        <f t="shared" si="10"/>
        <v>102.98824506412016</v>
      </c>
      <c r="DK35" s="12">
        <f t="shared" si="10"/>
        <v>97.819494265441776</v>
      </c>
      <c r="DL35" s="12">
        <f t="shared" si="10"/>
        <v>93.029632217098609</v>
      </c>
      <c r="DM35" s="12">
        <f t="shared" si="10"/>
        <v>88.625225012625705</v>
      </c>
      <c r="DN35" s="12">
        <f t="shared" si="10"/>
        <v>84.608283648313432</v>
      </c>
      <c r="DO35" s="12">
        <f t="shared" si="10"/>
        <v>80.976273050937067</v>
      </c>
      <c r="DP35" s="12">
        <f t="shared" si="11"/>
        <v>77.722174507935506</v>
      </c>
      <c r="DQ35" s="12">
        <f t="shared" si="11"/>
        <v>74.834599237527186</v>
      </c>
      <c r="DR35" s="12">
        <f t="shared" si="11"/>
        <v>72.297950312292045</v>
      </c>
      <c r="DS35" s="12">
        <f t="shared" si="11"/>
        <v>70.092629723050507</v>
      </c>
      <c r="DT35" s="12">
        <f t="shared" si="11"/>
        <v>68.195287040548465</v>
      </c>
      <c r="DU35" s="12">
        <f t="shared" si="11"/>
        <v>66.579105894969359</v>
      </c>
      <c r="DV35" s="12">
        <f t="shared" si="11"/>
        <v>65.214124338581342</v>
      </c>
      <c r="DW35" s="12">
        <f t="shared" si="11"/>
        <v>64.067585073222276</v>
      </c>
      <c r="DX35" s="12">
        <f t="shared" si="11"/>
        <v>63.10431149836225</v>
      </c>
      <c r="DY35" s="12">
        <f t="shared" si="11"/>
        <v>62.287105552704496</v>
      </c>
      <c r="DZ35" s="12">
        <f t="shared" si="11"/>
        <v>61.577163368070117</v>
      </c>
      <c r="EA35" s="11">
        <f t="shared" si="11"/>
        <v>60.934504814652719</v>
      </c>
    </row>
    <row r="36" spans="5:131" x14ac:dyDescent="0.3">
      <c r="E36" s="16"/>
      <c r="F36" s="11">
        <f t="shared" si="17"/>
        <v>300</v>
      </c>
      <c r="G36" s="12">
        <f t="shared" si="12"/>
        <v>287.20458331783175</v>
      </c>
      <c r="H36" s="12">
        <f t="shared" si="12"/>
        <v>274.47945650127724</v>
      </c>
      <c r="I36" s="12">
        <f t="shared" si="12"/>
        <v>261.8940321639696</v>
      </c>
      <c r="J36" s="12">
        <f t="shared" si="12"/>
        <v>249.51598121594628</v>
      </c>
      <c r="K36" s="12">
        <f t="shared" si="12"/>
        <v>237.410393742005</v>
      </c>
      <c r="L36" s="12">
        <f t="shared" si="12"/>
        <v>225.638977207251</v>
      </c>
      <c r="M36" s="12">
        <f t="shared" si="12"/>
        <v>214.25930321091408</v>
      </c>
      <c r="N36" s="12">
        <f t="shared" si="12"/>
        <v>203.32411301536473</v>
      </c>
      <c r="O36" s="12">
        <f t="shared" si="12"/>
        <v>192.88069089761203</v>
      </c>
      <c r="P36" s="12">
        <f t="shared" si="12"/>
        <v>182.97031304318821</v>
      </c>
      <c r="Q36" s="12">
        <f t="shared" si="12"/>
        <v>173.62777826859889</v>
      </c>
      <c r="R36" s="12">
        <f t="shared" si="12"/>
        <v>164.88102536165542</v>
      </c>
      <c r="S36" s="12">
        <f t="shared" si="12"/>
        <v>156.75084031219686</v>
      </c>
      <c r="T36" s="12">
        <f t="shared" si="12"/>
        <v>149.25065521039988</v>
      </c>
      <c r="U36" s="12">
        <f t="shared" si="12"/>
        <v>142.38643915412473</v>
      </c>
      <c r="V36" s="12">
        <f t="shared" si="12"/>
        <v>136.15668016384473</v>
      </c>
      <c r="W36" s="12">
        <f t="shared" si="4"/>
        <v>130.55245588106118</v>
      </c>
      <c r="X36" s="12">
        <f t="shared" si="4"/>
        <v>125.55758974443694</v>
      </c>
      <c r="Y36" s="12">
        <f t="shared" si="5"/>
        <v>121.14888841078439</v>
      </c>
      <c r="Z36" s="12">
        <f t="shared" si="5"/>
        <v>117.29645542188662</v>
      </c>
      <c r="AA36" s="12">
        <f t="shared" si="5"/>
        <v>113.96407551228947</v>
      </c>
      <c r="AB36" s="12">
        <f t="shared" si="5"/>
        <v>111.10966350062355</v>
      </c>
      <c r="AC36" s="12">
        <f t="shared" si="5"/>
        <v>108.68577139501505</v>
      </c>
      <c r="AD36" s="12">
        <f t="shared" si="5"/>
        <v>106.64014715446073</v>
      </c>
      <c r="AE36" s="12">
        <f t="shared" si="5"/>
        <v>104.91633846200989</v>
      </c>
      <c r="AF36" s="12">
        <f t="shared" si="5"/>
        <v>103.45433485945031</v>
      </c>
      <c r="AG36" s="12">
        <f t="shared" si="5"/>
        <v>102.19124164338524</v>
      </c>
      <c r="AH36" s="12">
        <f t="shared" si="5"/>
        <v>101.06197900608413</v>
      </c>
      <c r="AI36" s="11">
        <f t="shared" si="18"/>
        <v>100</v>
      </c>
      <c r="AK36" s="17"/>
      <c r="AL36" s="11">
        <f t="shared" si="13"/>
        <v>-1076400000</v>
      </c>
      <c r="AM36" s="12">
        <f t="shared" si="6"/>
        <v>-1030218121.5702672</v>
      </c>
      <c r="AN36" s="12">
        <f t="shared" si="6"/>
        <v>-984291836.91536856</v>
      </c>
      <c r="AO36" s="12">
        <f t="shared" si="6"/>
        <v>-938873542.71053743</v>
      </c>
      <c r="AP36" s="12">
        <f t="shared" si="6"/>
        <v>-894209288.40698183</v>
      </c>
      <c r="AQ36" s="12">
        <f t="shared" si="6"/>
        <v>-850535719.05097377</v>
      </c>
      <c r="AR36" s="12">
        <f t="shared" si="6"/>
        <v>-808077155.03549647</v>
      </c>
      <c r="AS36" s="12">
        <f t="shared" si="6"/>
        <v>-767042849.88903332</v>
      </c>
      <c r="AT36" s="12">
        <f t="shared" si="6"/>
        <v>-727624463.51336432</v>
      </c>
      <c r="AU36" s="12">
        <f t="shared" si="6"/>
        <v>-689993783.90351784</v>
      </c>
      <c r="AV36" s="12">
        <f t="shared" si="6"/>
        <v>-654300725.46031141</v>
      </c>
      <c r="AW36" s="12">
        <f t="shared" si="6"/>
        <v>-620671626.69455802</v>
      </c>
      <c r="AX36" s="12">
        <f t="shared" si="6"/>
        <v>-589207864.58415353</v>
      </c>
      <c r="AY36" s="12">
        <f t="shared" si="6"/>
        <v>-559984797.24263883</v>
      </c>
      <c r="AZ36" s="12">
        <f t="shared" si="6"/>
        <v>-533051041.04540914</v>
      </c>
      <c r="BA36" s="12">
        <f t="shared" si="6"/>
        <v>-508428083.07949072</v>
      </c>
      <c r="BB36" s="12">
        <f t="shared" si="6"/>
        <v>-486110224.85845399</v>
      </c>
      <c r="BC36" s="12">
        <f t="shared" si="7"/>
        <v>-466064848.77701575</v>
      </c>
      <c r="BD36" s="12">
        <f t="shared" si="7"/>
        <v>-448232994.84626335</v>
      </c>
      <c r="BE36" s="12">
        <f t="shared" si="7"/>
        <v>-432530231.89937609</v>
      </c>
      <c r="BF36" s="12">
        <f t="shared" si="7"/>
        <v>-418847804.71114671</v>
      </c>
      <c r="BG36" s="12">
        <f t="shared" si="7"/>
        <v>-407054036.32815784</v>
      </c>
      <c r="BH36" s="12">
        <f t="shared" si="7"/>
        <v>-396995963.33166349</v>
      </c>
      <c r="BI36" s="12">
        <f t="shared" si="7"/>
        <v>-388501180.70256531</v>
      </c>
      <c r="BJ36" s="12">
        <f t="shared" si="7"/>
        <v>-381379872.36081213</v>
      </c>
      <c r="BK36" s="12">
        <f t="shared" si="7"/>
        <v>-375427003.23093832</v>
      </c>
      <c r="BL36" s="12">
        <f t="shared" si="7"/>
        <v>-370424648.75451505</v>
      </c>
      <c r="BM36" s="12">
        <f t="shared" si="7"/>
        <v>-366144438.03946006</v>
      </c>
      <c r="BN36" s="12">
        <f t="shared" si="7"/>
        <v>-362350087.21810389</v>
      </c>
      <c r="BO36" s="11">
        <f t="shared" si="7"/>
        <v>-358800000</v>
      </c>
      <c r="BQ36" s="16"/>
      <c r="BR36" s="11">
        <v>0</v>
      </c>
      <c r="BS36" s="12">
        <f t="shared" si="14"/>
        <v>0.3415922014622258</v>
      </c>
      <c r="BT36" s="12">
        <f t="shared" si="14"/>
        <v>0.3867162803971414</v>
      </c>
      <c r="BU36" s="12">
        <f t="shared" si="14"/>
        <v>0.39358441341045353</v>
      </c>
      <c r="BV36" s="12">
        <f t="shared" si="14"/>
        <v>0.39465123071155611</v>
      </c>
      <c r="BW36" s="12">
        <f t="shared" si="14"/>
        <v>0.39481745705771337</v>
      </c>
      <c r="BX36" s="12">
        <f t="shared" si="14"/>
        <v>0.39484337025824801</v>
      </c>
      <c r="BY36" s="12">
        <f t="shared" si="14"/>
        <v>0.39484741020089792</v>
      </c>
      <c r="BZ36" s="12">
        <f t="shared" si="14"/>
        <v>0.39484804004704999</v>
      </c>
      <c r="CA36" s="12">
        <f t="shared" si="14"/>
        <v>0.39484813824322279</v>
      </c>
      <c r="CB36" s="12">
        <f t="shared" si="14"/>
        <v>0.39484815355250286</v>
      </c>
      <c r="CC36" s="12">
        <f t="shared" si="14"/>
        <v>0.39484815593929717</v>
      </c>
      <c r="CD36" s="12">
        <f t="shared" si="14"/>
        <v>0.39484815631141046</v>
      </c>
      <c r="CE36" s="12">
        <f t="shared" si="14"/>
        <v>0.39484815636942483</v>
      </c>
      <c r="CF36" s="12">
        <f t="shared" si="14"/>
        <v>0.39484815637846954</v>
      </c>
      <c r="CG36" s="12">
        <f t="shared" si="14"/>
        <v>0.39484815637987963</v>
      </c>
      <c r="CH36" s="12">
        <f t="shared" si="14"/>
        <v>0.39484815638009951</v>
      </c>
      <c r="CI36" s="12">
        <f t="shared" si="9"/>
        <v>0.39484815638013382</v>
      </c>
      <c r="CJ36" s="12">
        <f t="shared" si="9"/>
        <v>0.39484815638013915</v>
      </c>
      <c r="CK36" s="12">
        <f t="shared" si="9"/>
        <v>0.39484815638013998</v>
      </c>
      <c r="CL36" s="12">
        <f t="shared" si="9"/>
        <v>0.39484815638014015</v>
      </c>
      <c r="CM36" s="12">
        <f t="shared" si="9"/>
        <v>0.39484815638014015</v>
      </c>
      <c r="CN36" s="12">
        <f t="shared" si="9"/>
        <v>0.39484815638014015</v>
      </c>
      <c r="CO36" s="12">
        <f t="shared" si="9"/>
        <v>0.39484815638014015</v>
      </c>
      <c r="CP36" s="12">
        <f t="shared" si="9"/>
        <v>0.39484815638014015</v>
      </c>
      <c r="CQ36" s="12">
        <f t="shared" si="9"/>
        <v>0.39484815638014015</v>
      </c>
      <c r="CR36" s="12">
        <f t="shared" si="9"/>
        <v>0.39484815638014015</v>
      </c>
      <c r="CS36" s="12">
        <f t="shared" si="9"/>
        <v>0.39484815638014015</v>
      </c>
      <c r="CT36" s="12">
        <f t="shared" si="9"/>
        <v>0.39484815638014015</v>
      </c>
      <c r="CU36" s="11">
        <f t="shared" si="9"/>
        <v>0.39484815638014015</v>
      </c>
      <c r="CW36" s="16"/>
      <c r="CX36" s="11">
        <f t="shared" si="15"/>
        <v>300</v>
      </c>
      <c r="CY36" s="12">
        <f t="shared" si="16"/>
        <v>193.44454151540521</v>
      </c>
      <c r="CZ36" s="12">
        <f t="shared" si="10"/>
        <v>173.20077052461761</v>
      </c>
      <c r="DA36" s="12">
        <f t="shared" si="10"/>
        <v>163.68843106055763</v>
      </c>
      <c r="DB36" s="12">
        <f t="shared" si="10"/>
        <v>155.8216771419489</v>
      </c>
      <c r="DC36" s="12">
        <f t="shared" si="10"/>
        <v>148.3241865479348</v>
      </c>
      <c r="DD36" s="12">
        <f t="shared" si="10"/>
        <v>141.04011181826982</v>
      </c>
      <c r="DE36" s="12">
        <f t="shared" si="10"/>
        <v>133.97730375540266</v>
      </c>
      <c r="DF36" s="12">
        <f t="shared" si="10"/>
        <v>127.16555025152174</v>
      </c>
      <c r="DG36" s="12">
        <f t="shared" si="10"/>
        <v>120.63520343872949</v>
      </c>
      <c r="DH36" s="12">
        <f t="shared" si="10"/>
        <v>114.41370538840856</v>
      </c>
      <c r="DI36" s="12">
        <f t="shared" si="10"/>
        <v>108.52480945516878</v>
      </c>
      <c r="DJ36" s="12">
        <f t="shared" si="10"/>
        <v>102.98824506412016</v>
      </c>
      <c r="DK36" s="12">
        <f t="shared" si="10"/>
        <v>97.819494265441776</v>
      </c>
      <c r="DL36" s="12">
        <f t="shared" si="10"/>
        <v>93.029632217098609</v>
      </c>
      <c r="DM36" s="12">
        <f t="shared" si="10"/>
        <v>88.625225012625705</v>
      </c>
      <c r="DN36" s="12">
        <f t="shared" si="10"/>
        <v>84.608283648313432</v>
      </c>
      <c r="DO36" s="12">
        <f t="shared" si="10"/>
        <v>80.976273050937067</v>
      </c>
      <c r="DP36" s="12">
        <f t="shared" si="11"/>
        <v>77.722174507935506</v>
      </c>
      <c r="DQ36" s="12">
        <f t="shared" si="11"/>
        <v>74.834599237527186</v>
      </c>
      <c r="DR36" s="12">
        <f t="shared" si="11"/>
        <v>72.297950312292045</v>
      </c>
      <c r="DS36" s="12">
        <f t="shared" si="11"/>
        <v>70.092629723050507</v>
      </c>
      <c r="DT36" s="12">
        <f t="shared" si="11"/>
        <v>68.195287040548479</v>
      </c>
      <c r="DU36" s="12">
        <f t="shared" si="11"/>
        <v>66.579105894969373</v>
      </c>
      <c r="DV36" s="12">
        <f t="shared" si="11"/>
        <v>65.214124338581342</v>
      </c>
      <c r="DW36" s="12">
        <f t="shared" si="11"/>
        <v>64.067585073222276</v>
      </c>
      <c r="DX36" s="12">
        <f t="shared" si="11"/>
        <v>63.10431149836225</v>
      </c>
      <c r="DY36" s="12">
        <f t="shared" si="11"/>
        <v>62.287105552704496</v>
      </c>
      <c r="DZ36" s="12">
        <f t="shared" si="11"/>
        <v>61.577163368070117</v>
      </c>
      <c r="EA36" s="11">
        <f t="shared" si="11"/>
        <v>60.934504814652719</v>
      </c>
    </row>
    <row r="37" spans="5:131" x14ac:dyDescent="0.3">
      <c r="E37" s="16"/>
      <c r="F37" s="11">
        <f t="shared" si="17"/>
        <v>300</v>
      </c>
      <c r="G37" s="12">
        <f t="shared" si="12"/>
        <v>287.20458331783175</v>
      </c>
      <c r="H37" s="12">
        <f t="shared" si="12"/>
        <v>274.47945650127724</v>
      </c>
      <c r="I37" s="12">
        <f t="shared" si="12"/>
        <v>261.8940321639696</v>
      </c>
      <c r="J37" s="12">
        <f t="shared" si="12"/>
        <v>249.51598121594628</v>
      </c>
      <c r="K37" s="12">
        <f t="shared" si="12"/>
        <v>237.410393742005</v>
      </c>
      <c r="L37" s="12">
        <f t="shared" si="12"/>
        <v>225.638977207251</v>
      </c>
      <c r="M37" s="12">
        <f t="shared" si="12"/>
        <v>214.25930321091414</v>
      </c>
      <c r="N37" s="12">
        <f t="shared" si="12"/>
        <v>203.32411301536473</v>
      </c>
      <c r="O37" s="12">
        <f t="shared" si="12"/>
        <v>192.88069089761203</v>
      </c>
      <c r="P37" s="12">
        <f t="shared" si="12"/>
        <v>182.97031304318824</v>
      </c>
      <c r="Q37" s="12">
        <f t="shared" si="12"/>
        <v>173.62777826859892</v>
      </c>
      <c r="R37" s="12">
        <f t="shared" si="12"/>
        <v>164.88102536165545</v>
      </c>
      <c r="S37" s="12">
        <f t="shared" si="12"/>
        <v>156.75084031219689</v>
      </c>
      <c r="T37" s="12">
        <f t="shared" si="12"/>
        <v>149.25065521039991</v>
      </c>
      <c r="U37" s="12">
        <f t="shared" si="12"/>
        <v>142.38643915412473</v>
      </c>
      <c r="V37" s="12">
        <f t="shared" si="12"/>
        <v>136.15668016384473</v>
      </c>
      <c r="W37" s="12">
        <f t="shared" si="4"/>
        <v>130.55245588106118</v>
      </c>
      <c r="X37" s="12">
        <f t="shared" si="4"/>
        <v>125.55758974443694</v>
      </c>
      <c r="Y37" s="12">
        <f t="shared" si="5"/>
        <v>121.14888841078439</v>
      </c>
      <c r="Z37" s="12">
        <f t="shared" si="5"/>
        <v>117.29645542188662</v>
      </c>
      <c r="AA37" s="12">
        <f t="shared" si="5"/>
        <v>113.96407551228947</v>
      </c>
      <c r="AB37" s="12">
        <f t="shared" si="5"/>
        <v>111.10966350062355</v>
      </c>
      <c r="AC37" s="12">
        <f t="shared" si="5"/>
        <v>108.68577139501505</v>
      </c>
      <c r="AD37" s="12">
        <f t="shared" si="5"/>
        <v>106.64014715446073</v>
      </c>
      <c r="AE37" s="12">
        <f t="shared" si="5"/>
        <v>104.91633846200989</v>
      </c>
      <c r="AF37" s="12">
        <f t="shared" si="5"/>
        <v>103.45433485945031</v>
      </c>
      <c r="AG37" s="12">
        <f t="shared" si="5"/>
        <v>102.19124164338524</v>
      </c>
      <c r="AH37" s="12">
        <f t="shared" si="5"/>
        <v>101.06197900608413</v>
      </c>
      <c r="AI37" s="11">
        <f t="shared" si="18"/>
        <v>100</v>
      </c>
      <c r="AK37" s="17"/>
      <c r="AL37" s="11">
        <f t="shared" si="13"/>
        <v>-1076400000</v>
      </c>
      <c r="AM37" s="12">
        <f t="shared" si="6"/>
        <v>-1030218121.5702672</v>
      </c>
      <c r="AN37" s="12">
        <f t="shared" si="6"/>
        <v>-984291836.91536856</v>
      </c>
      <c r="AO37" s="12">
        <f t="shared" si="6"/>
        <v>-938873542.71053743</v>
      </c>
      <c r="AP37" s="12">
        <f t="shared" si="6"/>
        <v>-894209288.40698183</v>
      </c>
      <c r="AQ37" s="12">
        <f t="shared" si="6"/>
        <v>-850535719.05097377</v>
      </c>
      <c r="AR37" s="12">
        <f t="shared" si="6"/>
        <v>-808077155.03549647</v>
      </c>
      <c r="AS37" s="12">
        <f t="shared" si="6"/>
        <v>-767042849.88903344</v>
      </c>
      <c r="AT37" s="12">
        <f t="shared" si="6"/>
        <v>-727624463.51336432</v>
      </c>
      <c r="AU37" s="12">
        <f t="shared" si="6"/>
        <v>-689993783.90351784</v>
      </c>
      <c r="AV37" s="12">
        <f t="shared" si="6"/>
        <v>-654300725.46031141</v>
      </c>
      <c r="AW37" s="12">
        <f t="shared" si="6"/>
        <v>-620671626.69455802</v>
      </c>
      <c r="AX37" s="12">
        <f t="shared" si="6"/>
        <v>-589207864.58415365</v>
      </c>
      <c r="AY37" s="12">
        <f t="shared" si="6"/>
        <v>-559984797.24263895</v>
      </c>
      <c r="AZ37" s="12">
        <f t="shared" si="6"/>
        <v>-533051041.04540926</v>
      </c>
      <c r="BA37" s="12">
        <f t="shared" si="6"/>
        <v>-508428083.07949084</v>
      </c>
      <c r="BB37" s="12">
        <f t="shared" si="6"/>
        <v>-486110224.85845399</v>
      </c>
      <c r="BC37" s="12">
        <f t="shared" si="7"/>
        <v>-466064848.77701575</v>
      </c>
      <c r="BD37" s="12">
        <f t="shared" si="7"/>
        <v>-448232994.84626341</v>
      </c>
      <c r="BE37" s="12">
        <f t="shared" si="7"/>
        <v>-432530231.89937609</v>
      </c>
      <c r="BF37" s="12">
        <f t="shared" si="7"/>
        <v>-418847804.71114671</v>
      </c>
      <c r="BG37" s="12">
        <f t="shared" si="7"/>
        <v>-407054036.32815784</v>
      </c>
      <c r="BH37" s="12">
        <f t="shared" si="7"/>
        <v>-396995963.33166349</v>
      </c>
      <c r="BI37" s="12">
        <f t="shared" si="7"/>
        <v>-388501180.70256531</v>
      </c>
      <c r="BJ37" s="12">
        <f t="shared" si="7"/>
        <v>-381379872.36081213</v>
      </c>
      <c r="BK37" s="12">
        <f t="shared" si="7"/>
        <v>-375427003.23093832</v>
      </c>
      <c r="BL37" s="12">
        <f t="shared" si="7"/>
        <v>-370424648.75451505</v>
      </c>
      <c r="BM37" s="12">
        <f t="shared" si="7"/>
        <v>-366144438.03946006</v>
      </c>
      <c r="BN37" s="12">
        <f t="shared" si="7"/>
        <v>-362350087.21810389</v>
      </c>
      <c r="BO37" s="11">
        <f t="shared" si="7"/>
        <v>-358800000</v>
      </c>
      <c r="BQ37" s="16"/>
      <c r="BR37" s="11">
        <v>0</v>
      </c>
      <c r="BS37" s="12">
        <f t="shared" si="14"/>
        <v>0.3415922014622258</v>
      </c>
      <c r="BT37" s="12">
        <f t="shared" si="14"/>
        <v>0.3867162803971414</v>
      </c>
      <c r="BU37" s="12">
        <f t="shared" si="14"/>
        <v>0.39358441341045353</v>
      </c>
      <c r="BV37" s="12">
        <f t="shared" si="14"/>
        <v>0.39465123071155611</v>
      </c>
      <c r="BW37" s="12">
        <f t="shared" si="14"/>
        <v>0.39481745705771337</v>
      </c>
      <c r="BX37" s="12">
        <f t="shared" si="14"/>
        <v>0.39484337025824801</v>
      </c>
      <c r="BY37" s="12">
        <f t="shared" si="14"/>
        <v>0.39484741020089792</v>
      </c>
      <c r="BZ37" s="12">
        <f t="shared" si="14"/>
        <v>0.39484804004704999</v>
      </c>
      <c r="CA37" s="12">
        <f t="shared" si="14"/>
        <v>0.39484813824322279</v>
      </c>
      <c r="CB37" s="12">
        <f t="shared" si="14"/>
        <v>0.39484815355250286</v>
      </c>
      <c r="CC37" s="12">
        <f t="shared" si="14"/>
        <v>0.39484815593929717</v>
      </c>
      <c r="CD37" s="12">
        <f t="shared" si="14"/>
        <v>0.39484815631141046</v>
      </c>
      <c r="CE37" s="12">
        <f t="shared" si="14"/>
        <v>0.39484815636942483</v>
      </c>
      <c r="CF37" s="12">
        <f t="shared" si="14"/>
        <v>0.39484815637846954</v>
      </c>
      <c r="CG37" s="12">
        <f t="shared" si="14"/>
        <v>0.39484815637987963</v>
      </c>
      <c r="CH37" s="12">
        <f t="shared" si="14"/>
        <v>0.39484815638009951</v>
      </c>
      <c r="CI37" s="12">
        <f t="shared" si="9"/>
        <v>0.39484815638013382</v>
      </c>
      <c r="CJ37" s="12">
        <f t="shared" si="9"/>
        <v>0.39484815638013915</v>
      </c>
      <c r="CK37" s="12">
        <f t="shared" si="9"/>
        <v>0.39484815638013998</v>
      </c>
      <c r="CL37" s="12">
        <f t="shared" si="9"/>
        <v>0.39484815638014015</v>
      </c>
      <c r="CM37" s="12">
        <f t="shared" si="9"/>
        <v>0.39484815638014015</v>
      </c>
      <c r="CN37" s="12">
        <f t="shared" si="9"/>
        <v>0.39484815638014015</v>
      </c>
      <c r="CO37" s="12">
        <f t="shared" si="9"/>
        <v>0.39484815638014015</v>
      </c>
      <c r="CP37" s="12">
        <f t="shared" si="9"/>
        <v>0.39484815638014015</v>
      </c>
      <c r="CQ37" s="12">
        <f t="shared" si="9"/>
        <v>0.39484815638014015</v>
      </c>
      <c r="CR37" s="12">
        <f t="shared" si="9"/>
        <v>0.39484815638014015</v>
      </c>
      <c r="CS37" s="12">
        <f t="shared" si="9"/>
        <v>0.39484815638014015</v>
      </c>
      <c r="CT37" s="12">
        <f t="shared" si="9"/>
        <v>0.39484815638014015</v>
      </c>
      <c r="CU37" s="11">
        <f t="shared" si="9"/>
        <v>0.39484815638014015</v>
      </c>
      <c r="CW37" s="16"/>
      <c r="CX37" s="11">
        <f t="shared" si="15"/>
        <v>300</v>
      </c>
      <c r="CY37" s="12">
        <f t="shared" si="16"/>
        <v>193.44454151540521</v>
      </c>
      <c r="CZ37" s="12">
        <f t="shared" si="10"/>
        <v>173.20077052461761</v>
      </c>
      <c r="DA37" s="12">
        <f t="shared" si="10"/>
        <v>163.68843106055763</v>
      </c>
      <c r="DB37" s="12">
        <f t="shared" si="10"/>
        <v>155.8216771419489</v>
      </c>
      <c r="DC37" s="12">
        <f t="shared" si="10"/>
        <v>148.3241865479348</v>
      </c>
      <c r="DD37" s="12">
        <f t="shared" si="10"/>
        <v>141.04011181826982</v>
      </c>
      <c r="DE37" s="12">
        <f t="shared" si="10"/>
        <v>133.97730375540269</v>
      </c>
      <c r="DF37" s="12">
        <f t="shared" si="10"/>
        <v>127.16555025152176</v>
      </c>
      <c r="DG37" s="12">
        <f t="shared" si="10"/>
        <v>120.63520343872949</v>
      </c>
      <c r="DH37" s="12">
        <f t="shared" si="10"/>
        <v>114.41370538840856</v>
      </c>
      <c r="DI37" s="12">
        <f t="shared" si="10"/>
        <v>108.52480945516878</v>
      </c>
      <c r="DJ37" s="12">
        <f t="shared" si="10"/>
        <v>102.98824506412019</v>
      </c>
      <c r="DK37" s="12">
        <f t="shared" si="10"/>
        <v>97.819494265441804</v>
      </c>
      <c r="DL37" s="12">
        <f t="shared" si="10"/>
        <v>93.029632217098623</v>
      </c>
      <c r="DM37" s="12">
        <f t="shared" si="10"/>
        <v>88.62522501262572</v>
      </c>
      <c r="DN37" s="12">
        <f t="shared" si="10"/>
        <v>84.608283648313432</v>
      </c>
      <c r="DO37" s="12">
        <f t="shared" si="10"/>
        <v>80.976273050937067</v>
      </c>
      <c r="DP37" s="12">
        <f t="shared" si="11"/>
        <v>77.722174507935506</v>
      </c>
      <c r="DQ37" s="12">
        <f t="shared" si="11"/>
        <v>74.834599237527186</v>
      </c>
      <c r="DR37" s="12">
        <f t="shared" si="11"/>
        <v>72.297950312292045</v>
      </c>
      <c r="DS37" s="12">
        <f t="shared" si="11"/>
        <v>70.092629723050507</v>
      </c>
      <c r="DT37" s="12">
        <f t="shared" si="11"/>
        <v>68.195287040548479</v>
      </c>
      <c r="DU37" s="12">
        <f t="shared" si="11"/>
        <v>66.579105894969373</v>
      </c>
      <c r="DV37" s="12">
        <f t="shared" si="11"/>
        <v>65.214124338581342</v>
      </c>
      <c r="DW37" s="12">
        <f t="shared" si="11"/>
        <v>64.067585073222276</v>
      </c>
      <c r="DX37" s="12">
        <f t="shared" si="11"/>
        <v>63.10431149836225</v>
      </c>
      <c r="DY37" s="12">
        <f t="shared" si="11"/>
        <v>62.287105552704496</v>
      </c>
      <c r="DZ37" s="12">
        <f t="shared" si="11"/>
        <v>61.577163368070117</v>
      </c>
      <c r="EA37" s="11">
        <f t="shared" si="11"/>
        <v>60.934504814652719</v>
      </c>
    </row>
    <row r="38" spans="5:131" x14ac:dyDescent="0.3">
      <c r="E38" s="16"/>
      <c r="F38" s="11">
        <f t="shared" si="17"/>
        <v>300</v>
      </c>
      <c r="G38" s="12">
        <f t="shared" si="12"/>
        <v>287.20458331783175</v>
      </c>
      <c r="H38" s="12">
        <f t="shared" si="12"/>
        <v>274.47945650127724</v>
      </c>
      <c r="I38" s="12">
        <f t="shared" si="12"/>
        <v>261.8940321639696</v>
      </c>
      <c r="J38" s="12">
        <f t="shared" si="12"/>
        <v>249.51598121594628</v>
      </c>
      <c r="K38" s="12">
        <f t="shared" si="12"/>
        <v>237.410393742005</v>
      </c>
      <c r="L38" s="12">
        <f t="shared" si="12"/>
        <v>225.638977207251</v>
      </c>
      <c r="M38" s="12">
        <f t="shared" si="12"/>
        <v>214.25930321091414</v>
      </c>
      <c r="N38" s="12">
        <f t="shared" si="12"/>
        <v>203.32411301536473</v>
      </c>
      <c r="O38" s="12">
        <f t="shared" si="12"/>
        <v>192.88069089761203</v>
      </c>
      <c r="P38" s="12">
        <f t="shared" si="12"/>
        <v>182.97031304318824</v>
      </c>
      <c r="Q38" s="12">
        <f t="shared" si="12"/>
        <v>173.62777826859895</v>
      </c>
      <c r="R38" s="12">
        <f t="shared" si="12"/>
        <v>164.88102536165547</v>
      </c>
      <c r="S38" s="12">
        <f t="shared" si="12"/>
        <v>156.75084031219691</v>
      </c>
      <c r="T38" s="12">
        <f t="shared" si="12"/>
        <v>149.25065521039994</v>
      </c>
      <c r="U38" s="12">
        <f t="shared" si="12"/>
        <v>142.38643915412476</v>
      </c>
      <c r="V38" s="12">
        <f t="shared" si="12"/>
        <v>136.15668016384475</v>
      </c>
      <c r="W38" s="12">
        <f t="shared" si="4"/>
        <v>130.55245588106123</v>
      </c>
      <c r="X38" s="12">
        <f t="shared" si="4"/>
        <v>125.55758974443697</v>
      </c>
      <c r="Y38" s="12">
        <f t="shared" si="5"/>
        <v>121.14888841078442</v>
      </c>
      <c r="Z38" s="12">
        <f t="shared" si="5"/>
        <v>117.29645542188663</v>
      </c>
      <c r="AA38" s="12">
        <f t="shared" si="5"/>
        <v>113.9640755122895</v>
      </c>
      <c r="AB38" s="12">
        <f t="shared" si="5"/>
        <v>111.10966350062355</v>
      </c>
      <c r="AC38" s="12">
        <f t="shared" si="5"/>
        <v>108.68577139501505</v>
      </c>
      <c r="AD38" s="12">
        <f t="shared" si="5"/>
        <v>106.64014715446075</v>
      </c>
      <c r="AE38" s="12">
        <f t="shared" si="5"/>
        <v>104.91633846200992</v>
      </c>
      <c r="AF38" s="12">
        <f t="shared" si="5"/>
        <v>103.45433485945031</v>
      </c>
      <c r="AG38" s="12">
        <f t="shared" si="5"/>
        <v>102.19124164338524</v>
      </c>
      <c r="AH38" s="12">
        <f t="shared" si="5"/>
        <v>101.06197900608413</v>
      </c>
      <c r="AI38" s="11">
        <f t="shared" si="18"/>
        <v>100</v>
      </c>
      <c r="AK38" s="17"/>
      <c r="AL38" s="11">
        <f t="shared" si="13"/>
        <v>-1076400000</v>
      </c>
      <c r="AM38" s="12">
        <f t="shared" si="6"/>
        <v>-1030218121.5702672</v>
      </c>
      <c r="AN38" s="12">
        <f t="shared" si="6"/>
        <v>-984291836.91536856</v>
      </c>
      <c r="AO38" s="12">
        <f t="shared" si="6"/>
        <v>-938873542.71053743</v>
      </c>
      <c r="AP38" s="12">
        <f t="shared" si="6"/>
        <v>-894209288.40698183</v>
      </c>
      <c r="AQ38" s="12">
        <f t="shared" si="6"/>
        <v>-850535719.05097377</v>
      </c>
      <c r="AR38" s="12">
        <f t="shared" si="6"/>
        <v>-808077155.03549647</v>
      </c>
      <c r="AS38" s="12">
        <f t="shared" si="6"/>
        <v>-767042849.88903356</v>
      </c>
      <c r="AT38" s="12">
        <f t="shared" si="6"/>
        <v>-727624463.51336432</v>
      </c>
      <c r="AU38" s="12">
        <f t="shared" si="6"/>
        <v>-689993783.90351784</v>
      </c>
      <c r="AV38" s="12">
        <f t="shared" si="6"/>
        <v>-654300725.46031153</v>
      </c>
      <c r="AW38" s="12">
        <f t="shared" si="6"/>
        <v>-620671626.69455802</v>
      </c>
      <c r="AX38" s="12">
        <f t="shared" si="6"/>
        <v>-589207864.58415365</v>
      </c>
      <c r="AY38" s="12">
        <f t="shared" si="6"/>
        <v>-559984797.24263895</v>
      </c>
      <c r="AZ38" s="12">
        <f t="shared" si="6"/>
        <v>-533051041.04540938</v>
      </c>
      <c r="BA38" s="12">
        <f t="shared" si="6"/>
        <v>-508428083.0794909</v>
      </c>
      <c r="BB38" s="12">
        <f t="shared" si="6"/>
        <v>-486110224.85845411</v>
      </c>
      <c r="BC38" s="12">
        <f t="shared" si="7"/>
        <v>-466064848.77701586</v>
      </c>
      <c r="BD38" s="12">
        <f t="shared" si="7"/>
        <v>-448232994.84626353</v>
      </c>
      <c r="BE38" s="12">
        <f t="shared" si="7"/>
        <v>-432530231.89937621</v>
      </c>
      <c r="BF38" s="12">
        <f t="shared" si="7"/>
        <v>-418847804.71114671</v>
      </c>
      <c r="BG38" s="12">
        <f t="shared" si="7"/>
        <v>-407054036.32815796</v>
      </c>
      <c r="BH38" s="12">
        <f t="shared" si="7"/>
        <v>-396995963.33166349</v>
      </c>
      <c r="BI38" s="12">
        <f t="shared" si="7"/>
        <v>-388501180.70256537</v>
      </c>
      <c r="BJ38" s="12">
        <f t="shared" si="7"/>
        <v>-381379872.36081213</v>
      </c>
      <c r="BK38" s="12">
        <f t="shared" si="7"/>
        <v>-375427003.23093843</v>
      </c>
      <c r="BL38" s="12">
        <f t="shared" si="7"/>
        <v>-370424648.75451511</v>
      </c>
      <c r="BM38" s="12">
        <f t="shared" si="7"/>
        <v>-366144438.03946006</v>
      </c>
      <c r="BN38" s="12">
        <f t="shared" si="7"/>
        <v>-362350087.21810389</v>
      </c>
      <c r="BO38" s="11">
        <f t="shared" si="7"/>
        <v>-358800000</v>
      </c>
      <c r="BQ38" s="16"/>
      <c r="BR38" s="11">
        <v>0</v>
      </c>
      <c r="BS38" s="12">
        <f t="shared" si="14"/>
        <v>0.3415922014622258</v>
      </c>
      <c r="BT38" s="12">
        <f t="shared" si="14"/>
        <v>0.3867162803971414</v>
      </c>
      <c r="BU38" s="12">
        <f t="shared" si="14"/>
        <v>0.39358441341045353</v>
      </c>
      <c r="BV38" s="12">
        <f t="shared" si="14"/>
        <v>0.39465123071155611</v>
      </c>
      <c r="BW38" s="12">
        <f t="shared" si="14"/>
        <v>0.39481745705771337</v>
      </c>
      <c r="BX38" s="12">
        <f t="shared" si="14"/>
        <v>0.39484337025824801</v>
      </c>
      <c r="BY38" s="12">
        <f t="shared" si="14"/>
        <v>0.39484741020089792</v>
      </c>
      <c r="BZ38" s="12">
        <f t="shared" si="14"/>
        <v>0.39484804004704999</v>
      </c>
      <c r="CA38" s="12">
        <f t="shared" si="14"/>
        <v>0.39484813824322279</v>
      </c>
      <c r="CB38" s="12">
        <f t="shared" si="14"/>
        <v>0.39484815355250286</v>
      </c>
      <c r="CC38" s="12">
        <f t="shared" si="14"/>
        <v>0.39484815593929717</v>
      </c>
      <c r="CD38" s="12">
        <f t="shared" si="14"/>
        <v>0.39484815631141046</v>
      </c>
      <c r="CE38" s="12">
        <f t="shared" si="14"/>
        <v>0.39484815636942483</v>
      </c>
      <c r="CF38" s="12">
        <f t="shared" si="14"/>
        <v>0.39484815637846954</v>
      </c>
      <c r="CG38" s="12">
        <f t="shared" si="14"/>
        <v>0.39484815637987963</v>
      </c>
      <c r="CH38" s="12">
        <f t="shared" si="14"/>
        <v>0.39484815638009951</v>
      </c>
      <c r="CI38" s="12">
        <f t="shared" si="9"/>
        <v>0.39484815638013382</v>
      </c>
      <c r="CJ38" s="12">
        <f t="shared" si="9"/>
        <v>0.39484815638013915</v>
      </c>
      <c r="CK38" s="12">
        <f t="shared" si="9"/>
        <v>0.39484815638013998</v>
      </c>
      <c r="CL38" s="12">
        <f t="shared" si="9"/>
        <v>0.39484815638014015</v>
      </c>
      <c r="CM38" s="12">
        <f t="shared" si="9"/>
        <v>0.39484815638014015</v>
      </c>
      <c r="CN38" s="12">
        <f t="shared" si="9"/>
        <v>0.39484815638014015</v>
      </c>
      <c r="CO38" s="12">
        <f t="shared" si="9"/>
        <v>0.39484815638014015</v>
      </c>
      <c r="CP38" s="12">
        <f t="shared" si="9"/>
        <v>0.39484815638014015</v>
      </c>
      <c r="CQ38" s="12">
        <f t="shared" si="9"/>
        <v>0.39484815638014015</v>
      </c>
      <c r="CR38" s="12">
        <f t="shared" si="9"/>
        <v>0.39484815638014015</v>
      </c>
      <c r="CS38" s="12">
        <f t="shared" si="9"/>
        <v>0.39484815638014015</v>
      </c>
      <c r="CT38" s="12">
        <f t="shared" si="9"/>
        <v>0.39484815638014015</v>
      </c>
      <c r="CU38" s="11">
        <f t="shared" si="9"/>
        <v>0.39484815638014015</v>
      </c>
      <c r="CW38" s="16"/>
      <c r="CX38" s="11">
        <f t="shared" si="15"/>
        <v>300</v>
      </c>
      <c r="CY38" s="12">
        <f t="shared" si="16"/>
        <v>193.44454151540521</v>
      </c>
      <c r="CZ38" s="12">
        <f t="shared" si="10"/>
        <v>173.20077052461761</v>
      </c>
      <c r="DA38" s="12">
        <f t="shared" si="10"/>
        <v>163.68843106055763</v>
      </c>
      <c r="DB38" s="12">
        <f t="shared" si="10"/>
        <v>155.8216771419489</v>
      </c>
      <c r="DC38" s="12">
        <f t="shared" si="10"/>
        <v>148.3241865479348</v>
      </c>
      <c r="DD38" s="12">
        <f t="shared" si="10"/>
        <v>141.04011181826982</v>
      </c>
      <c r="DE38" s="12">
        <f t="shared" si="10"/>
        <v>133.97730375540269</v>
      </c>
      <c r="DF38" s="12">
        <f t="shared" si="10"/>
        <v>127.16555025152176</v>
      </c>
      <c r="DG38" s="12">
        <f t="shared" si="10"/>
        <v>120.63520343872949</v>
      </c>
      <c r="DH38" s="12">
        <f t="shared" si="10"/>
        <v>114.41370538840856</v>
      </c>
      <c r="DI38" s="12">
        <f t="shared" si="10"/>
        <v>108.52480945516878</v>
      </c>
      <c r="DJ38" s="12">
        <f t="shared" si="10"/>
        <v>102.98824506412019</v>
      </c>
      <c r="DK38" s="12">
        <f t="shared" si="10"/>
        <v>97.819494265441804</v>
      </c>
      <c r="DL38" s="12">
        <f t="shared" si="10"/>
        <v>93.029632217098637</v>
      </c>
      <c r="DM38" s="12">
        <f t="shared" si="10"/>
        <v>88.62522501262572</v>
      </c>
      <c r="DN38" s="12">
        <f t="shared" si="10"/>
        <v>84.608283648313446</v>
      </c>
      <c r="DO38" s="12">
        <f t="shared" si="10"/>
        <v>80.976273050937095</v>
      </c>
      <c r="DP38" s="12">
        <f t="shared" si="11"/>
        <v>77.722174507935534</v>
      </c>
      <c r="DQ38" s="12">
        <f t="shared" si="11"/>
        <v>74.834599237527215</v>
      </c>
      <c r="DR38" s="12">
        <f t="shared" si="11"/>
        <v>72.297950312292059</v>
      </c>
      <c r="DS38" s="12">
        <f t="shared" si="11"/>
        <v>70.092629723050536</v>
      </c>
      <c r="DT38" s="12">
        <f t="shared" si="11"/>
        <v>68.195287040548493</v>
      </c>
      <c r="DU38" s="12">
        <f t="shared" si="11"/>
        <v>66.579105894969373</v>
      </c>
      <c r="DV38" s="12">
        <f t="shared" si="11"/>
        <v>65.214124338581342</v>
      </c>
      <c r="DW38" s="12">
        <f t="shared" si="11"/>
        <v>64.06758507322229</v>
      </c>
      <c r="DX38" s="12">
        <f t="shared" si="11"/>
        <v>63.10431149836225</v>
      </c>
      <c r="DY38" s="12">
        <f t="shared" si="11"/>
        <v>62.287105552704496</v>
      </c>
      <c r="DZ38" s="12">
        <f t="shared" si="11"/>
        <v>61.577163368070117</v>
      </c>
      <c r="EA38" s="11">
        <f t="shared" si="11"/>
        <v>60.934504814652719</v>
      </c>
    </row>
    <row r="39" spans="5:131" x14ac:dyDescent="0.3">
      <c r="E39" s="16"/>
      <c r="F39" s="11">
        <f t="shared" si="17"/>
        <v>300</v>
      </c>
      <c r="G39" s="12">
        <f t="shared" si="12"/>
        <v>287.20458331783175</v>
      </c>
      <c r="H39" s="12">
        <f t="shared" si="12"/>
        <v>274.47945650127724</v>
      </c>
      <c r="I39" s="12">
        <f t="shared" si="12"/>
        <v>261.8940321639696</v>
      </c>
      <c r="J39" s="12">
        <f t="shared" si="12"/>
        <v>249.51598121594631</v>
      </c>
      <c r="K39" s="12">
        <f t="shared" si="12"/>
        <v>237.410393742005</v>
      </c>
      <c r="L39" s="12">
        <f t="shared" si="12"/>
        <v>225.63897720725106</v>
      </c>
      <c r="M39" s="12">
        <f t="shared" si="12"/>
        <v>214.2593032109142</v>
      </c>
      <c r="N39" s="12">
        <f t="shared" si="12"/>
        <v>203.32411301536479</v>
      </c>
      <c r="O39" s="12">
        <f t="shared" si="12"/>
        <v>192.88069089761206</v>
      </c>
      <c r="P39" s="12">
        <f t="shared" si="12"/>
        <v>182.97031304318827</v>
      </c>
      <c r="Q39" s="12">
        <f t="shared" si="12"/>
        <v>173.62777826859895</v>
      </c>
      <c r="R39" s="12">
        <f t="shared" si="12"/>
        <v>164.88102536165547</v>
      </c>
      <c r="S39" s="12">
        <f t="shared" si="12"/>
        <v>156.75084031219694</v>
      </c>
      <c r="T39" s="12">
        <f t="shared" si="12"/>
        <v>149.25065521039997</v>
      </c>
      <c r="U39" s="12">
        <f t="shared" si="12"/>
        <v>142.38643915412482</v>
      </c>
      <c r="V39" s="12">
        <f t="shared" si="12"/>
        <v>136.15668016384478</v>
      </c>
      <c r="W39" s="12">
        <f t="shared" si="4"/>
        <v>130.55245588106126</v>
      </c>
      <c r="X39" s="12">
        <f t="shared" si="4"/>
        <v>125.55758974443701</v>
      </c>
      <c r="Y39" s="12">
        <f t="shared" si="5"/>
        <v>121.14888841078445</v>
      </c>
      <c r="Z39" s="12">
        <f t="shared" si="5"/>
        <v>117.29645542188663</v>
      </c>
      <c r="AA39" s="12">
        <f t="shared" si="5"/>
        <v>113.9640755122895</v>
      </c>
      <c r="AB39" s="12">
        <f t="shared" si="5"/>
        <v>111.10966350062357</v>
      </c>
      <c r="AC39" s="12">
        <f t="shared" si="5"/>
        <v>108.68577139501508</v>
      </c>
      <c r="AD39" s="12">
        <f t="shared" si="5"/>
        <v>106.64014715446078</v>
      </c>
      <c r="AE39" s="12">
        <f t="shared" si="5"/>
        <v>104.91633846200995</v>
      </c>
      <c r="AF39" s="12">
        <f t="shared" si="5"/>
        <v>103.45433485945036</v>
      </c>
      <c r="AG39" s="12">
        <f t="shared" si="5"/>
        <v>102.19124164338527</v>
      </c>
      <c r="AH39" s="12">
        <f t="shared" si="5"/>
        <v>101.06197900608414</v>
      </c>
      <c r="AI39" s="11">
        <f t="shared" si="18"/>
        <v>100</v>
      </c>
      <c r="AK39" s="17"/>
      <c r="AL39" s="11">
        <f t="shared" si="13"/>
        <v>-1076400000</v>
      </c>
      <c r="AM39" s="12">
        <f t="shared" si="6"/>
        <v>-1030218121.5702672</v>
      </c>
      <c r="AN39" s="12">
        <f t="shared" si="6"/>
        <v>-984291836.91536856</v>
      </c>
      <c r="AO39" s="12">
        <f t="shared" si="6"/>
        <v>-938873542.71053743</v>
      </c>
      <c r="AP39" s="12">
        <f t="shared" si="6"/>
        <v>-894209288.40698195</v>
      </c>
      <c r="AQ39" s="12">
        <f t="shared" si="6"/>
        <v>-850535719.05097377</v>
      </c>
      <c r="AR39" s="12">
        <f t="shared" si="6"/>
        <v>-808077155.03549647</v>
      </c>
      <c r="AS39" s="12">
        <f t="shared" si="6"/>
        <v>-767042849.88903379</v>
      </c>
      <c r="AT39" s="12">
        <f t="shared" si="6"/>
        <v>-727624463.51336443</v>
      </c>
      <c r="AU39" s="12">
        <f t="shared" si="6"/>
        <v>-689993783.90351808</v>
      </c>
      <c r="AV39" s="12">
        <f t="shared" si="6"/>
        <v>-654300725.46031177</v>
      </c>
      <c r="AW39" s="12">
        <f t="shared" si="6"/>
        <v>-620671626.69455826</v>
      </c>
      <c r="AX39" s="12">
        <f t="shared" si="6"/>
        <v>-589207864.58415377</v>
      </c>
      <c r="AY39" s="12">
        <f t="shared" si="6"/>
        <v>-559984797.24263906</v>
      </c>
      <c r="AZ39" s="12">
        <f t="shared" si="6"/>
        <v>-533051041.04540956</v>
      </c>
      <c r="BA39" s="12">
        <f t="shared" si="6"/>
        <v>-508428083.07949114</v>
      </c>
      <c r="BB39" s="12">
        <f t="shared" si="6"/>
        <v>-486110224.85845423</v>
      </c>
      <c r="BC39" s="12">
        <f t="shared" si="7"/>
        <v>-466064848.77701604</v>
      </c>
      <c r="BD39" s="12">
        <f t="shared" si="7"/>
        <v>-448232994.84626365</v>
      </c>
      <c r="BE39" s="12">
        <f t="shared" si="7"/>
        <v>-432530231.89937633</v>
      </c>
      <c r="BF39" s="12">
        <f t="shared" si="7"/>
        <v>-418847804.71114677</v>
      </c>
      <c r="BG39" s="12">
        <f t="shared" si="7"/>
        <v>-407054036.32815808</v>
      </c>
      <c r="BH39" s="12">
        <f t="shared" si="7"/>
        <v>-396995963.33166355</v>
      </c>
      <c r="BI39" s="12">
        <f t="shared" si="7"/>
        <v>-388501180.70256543</v>
      </c>
      <c r="BJ39" s="12">
        <f t="shared" si="7"/>
        <v>-381379872.36081219</v>
      </c>
      <c r="BK39" s="12">
        <f t="shared" si="7"/>
        <v>-375427003.23093849</v>
      </c>
      <c r="BL39" s="12">
        <f t="shared" si="7"/>
        <v>-370424648.75451523</v>
      </c>
      <c r="BM39" s="12">
        <f t="shared" si="7"/>
        <v>-366144438.03946006</v>
      </c>
      <c r="BN39" s="12">
        <f t="shared" si="7"/>
        <v>-362350087.21810389</v>
      </c>
      <c r="BO39" s="11">
        <f t="shared" si="7"/>
        <v>-358800000</v>
      </c>
      <c r="BQ39" s="16"/>
      <c r="BR39" s="11">
        <v>0</v>
      </c>
      <c r="BS39" s="12">
        <f t="shared" si="14"/>
        <v>0.3415922014622258</v>
      </c>
      <c r="BT39" s="12">
        <f t="shared" si="14"/>
        <v>0.3867162803971414</v>
      </c>
      <c r="BU39" s="12">
        <f t="shared" si="14"/>
        <v>0.39358441341045353</v>
      </c>
      <c r="BV39" s="12">
        <f t="shared" si="14"/>
        <v>0.39465123071155611</v>
      </c>
      <c r="BW39" s="12">
        <f t="shared" si="14"/>
        <v>0.39481745705771337</v>
      </c>
      <c r="BX39" s="12">
        <f t="shared" si="14"/>
        <v>0.39484337025824801</v>
      </c>
      <c r="BY39" s="12">
        <f t="shared" si="14"/>
        <v>0.39484741020089792</v>
      </c>
      <c r="BZ39" s="12">
        <f t="shared" si="14"/>
        <v>0.39484804004704999</v>
      </c>
      <c r="CA39" s="12">
        <f t="shared" si="14"/>
        <v>0.39484813824322279</v>
      </c>
      <c r="CB39" s="12">
        <f t="shared" si="14"/>
        <v>0.39484815355250286</v>
      </c>
      <c r="CC39" s="12">
        <f t="shared" si="14"/>
        <v>0.39484815593929717</v>
      </c>
      <c r="CD39" s="12">
        <f t="shared" si="14"/>
        <v>0.39484815631141046</v>
      </c>
      <c r="CE39" s="12">
        <f t="shared" si="14"/>
        <v>0.39484815636942483</v>
      </c>
      <c r="CF39" s="12">
        <f t="shared" si="14"/>
        <v>0.39484815637846954</v>
      </c>
      <c r="CG39" s="12">
        <f t="shared" si="14"/>
        <v>0.39484815637987963</v>
      </c>
      <c r="CH39" s="12">
        <f t="shared" si="14"/>
        <v>0.39484815638009951</v>
      </c>
      <c r="CI39" s="12">
        <f t="shared" si="9"/>
        <v>0.39484815638013382</v>
      </c>
      <c r="CJ39" s="12">
        <f t="shared" si="9"/>
        <v>0.39484815638013915</v>
      </c>
      <c r="CK39" s="12">
        <f t="shared" si="9"/>
        <v>0.39484815638013998</v>
      </c>
      <c r="CL39" s="12">
        <f t="shared" si="9"/>
        <v>0.39484815638014015</v>
      </c>
      <c r="CM39" s="12">
        <f t="shared" si="9"/>
        <v>0.39484815638014015</v>
      </c>
      <c r="CN39" s="12">
        <f t="shared" si="9"/>
        <v>0.39484815638014015</v>
      </c>
      <c r="CO39" s="12">
        <f t="shared" si="9"/>
        <v>0.39484815638014015</v>
      </c>
      <c r="CP39" s="12">
        <f t="shared" si="9"/>
        <v>0.39484815638014015</v>
      </c>
      <c r="CQ39" s="12">
        <f t="shared" si="9"/>
        <v>0.39484815638014015</v>
      </c>
      <c r="CR39" s="12">
        <f t="shared" si="9"/>
        <v>0.39484815638014015</v>
      </c>
      <c r="CS39" s="12">
        <f t="shared" si="9"/>
        <v>0.39484815638014015</v>
      </c>
      <c r="CT39" s="12">
        <f t="shared" si="9"/>
        <v>0.39484815638014015</v>
      </c>
      <c r="CU39" s="11">
        <f t="shared" si="9"/>
        <v>0.39484815638014015</v>
      </c>
      <c r="CW39" s="16"/>
      <c r="CX39" s="11">
        <f t="shared" si="15"/>
        <v>300</v>
      </c>
      <c r="CY39" s="12">
        <f t="shared" si="16"/>
        <v>193.44454151540521</v>
      </c>
      <c r="CZ39" s="12">
        <f t="shared" si="10"/>
        <v>173.20077052461761</v>
      </c>
      <c r="DA39" s="12">
        <f t="shared" si="10"/>
        <v>163.68843106055763</v>
      </c>
      <c r="DB39" s="12">
        <f t="shared" si="10"/>
        <v>155.82167714194892</v>
      </c>
      <c r="DC39" s="12">
        <f t="shared" si="10"/>
        <v>148.3241865479348</v>
      </c>
      <c r="DD39" s="12">
        <f t="shared" si="10"/>
        <v>141.04011181826982</v>
      </c>
      <c r="DE39" s="12">
        <f t="shared" si="10"/>
        <v>133.97730375540272</v>
      </c>
      <c r="DF39" s="12">
        <f t="shared" si="10"/>
        <v>127.16555025152178</v>
      </c>
      <c r="DG39" s="12">
        <f t="shared" si="10"/>
        <v>120.63520343872952</v>
      </c>
      <c r="DH39" s="12">
        <f t="shared" si="10"/>
        <v>114.4137053884086</v>
      </c>
      <c r="DI39" s="12">
        <f t="shared" si="10"/>
        <v>108.52480945516881</v>
      </c>
      <c r="DJ39" s="12">
        <f t="shared" si="10"/>
        <v>102.98824506412021</v>
      </c>
      <c r="DK39" s="12">
        <f t="shared" si="10"/>
        <v>97.819494265441818</v>
      </c>
      <c r="DL39" s="12">
        <f t="shared" si="10"/>
        <v>93.029632217098666</v>
      </c>
      <c r="DM39" s="12">
        <f t="shared" si="10"/>
        <v>88.625225012625776</v>
      </c>
      <c r="DN39" s="12">
        <f t="shared" si="10"/>
        <v>84.608283648313474</v>
      </c>
      <c r="DO39" s="12">
        <f t="shared" si="10"/>
        <v>80.97627305093711</v>
      </c>
      <c r="DP39" s="12">
        <f t="shared" si="11"/>
        <v>77.722174507935563</v>
      </c>
      <c r="DQ39" s="12">
        <f t="shared" si="11"/>
        <v>74.834599237527243</v>
      </c>
      <c r="DR39" s="12">
        <f t="shared" si="11"/>
        <v>72.297950312292059</v>
      </c>
      <c r="DS39" s="12">
        <f t="shared" si="11"/>
        <v>70.092629723050536</v>
      </c>
      <c r="DT39" s="12">
        <f t="shared" si="11"/>
        <v>68.195287040548493</v>
      </c>
      <c r="DU39" s="12">
        <f t="shared" si="11"/>
        <v>66.579105894969388</v>
      </c>
      <c r="DV39" s="12">
        <f t="shared" si="11"/>
        <v>65.214124338581357</v>
      </c>
      <c r="DW39" s="12">
        <f t="shared" si="11"/>
        <v>64.067585073222304</v>
      </c>
      <c r="DX39" s="12">
        <f t="shared" si="11"/>
        <v>63.104311498362279</v>
      </c>
      <c r="DY39" s="12">
        <f t="shared" si="11"/>
        <v>62.28710555270451</v>
      </c>
      <c r="DZ39" s="12">
        <f t="shared" si="11"/>
        <v>61.577163368070131</v>
      </c>
      <c r="EA39" s="11">
        <f t="shared" si="11"/>
        <v>60.934504814652719</v>
      </c>
    </row>
    <row r="40" spans="5:131" x14ac:dyDescent="0.3">
      <c r="E40" s="16"/>
      <c r="F40" s="11">
        <f t="shared" si="17"/>
        <v>300</v>
      </c>
      <c r="G40" s="12">
        <f t="shared" si="12"/>
        <v>287.20458331783175</v>
      </c>
      <c r="H40" s="12">
        <f t="shared" si="12"/>
        <v>274.47945650127724</v>
      </c>
      <c r="I40" s="12">
        <f t="shared" si="12"/>
        <v>261.8940321639696</v>
      </c>
      <c r="J40" s="12">
        <f t="shared" si="12"/>
        <v>249.51598121594634</v>
      </c>
      <c r="K40" s="12">
        <f t="shared" si="12"/>
        <v>237.41039374200506</v>
      </c>
      <c r="L40" s="12">
        <f t="shared" si="12"/>
        <v>225.63897720725109</v>
      </c>
      <c r="M40" s="12">
        <f t="shared" si="12"/>
        <v>214.25930321091425</v>
      </c>
      <c r="N40" s="12">
        <f t="shared" si="12"/>
        <v>203.32411301536484</v>
      </c>
      <c r="O40" s="12">
        <f t="shared" si="12"/>
        <v>192.88069089761214</v>
      </c>
      <c r="P40" s="12">
        <f t="shared" si="12"/>
        <v>182.97031304318836</v>
      </c>
      <c r="Q40" s="12">
        <f t="shared" si="12"/>
        <v>173.62777826859903</v>
      </c>
      <c r="R40" s="12">
        <f t="shared" si="12"/>
        <v>164.88102536165556</v>
      </c>
      <c r="S40" s="12">
        <f t="shared" si="12"/>
        <v>156.750840312197</v>
      </c>
      <c r="T40" s="12">
        <f t="shared" si="12"/>
        <v>149.25065521040003</v>
      </c>
      <c r="U40" s="12">
        <f t="shared" si="12"/>
        <v>142.38643915412484</v>
      </c>
      <c r="V40" s="12">
        <f t="shared" si="12"/>
        <v>136.15668016384484</v>
      </c>
      <c r="W40" s="12">
        <f t="shared" si="4"/>
        <v>130.55245588106129</v>
      </c>
      <c r="X40" s="12">
        <f t="shared" si="4"/>
        <v>125.55758974443702</v>
      </c>
      <c r="Y40" s="12">
        <f t="shared" si="5"/>
        <v>121.14888841078448</v>
      </c>
      <c r="Z40" s="12">
        <f t="shared" si="5"/>
        <v>117.29645542188669</v>
      </c>
      <c r="AA40" s="12">
        <f t="shared" si="5"/>
        <v>113.96407551228953</v>
      </c>
      <c r="AB40" s="12">
        <f t="shared" si="5"/>
        <v>111.10966350062358</v>
      </c>
      <c r="AC40" s="12">
        <f t="shared" si="5"/>
        <v>108.6857713950151</v>
      </c>
      <c r="AD40" s="12">
        <f t="shared" si="5"/>
        <v>106.64014715446079</v>
      </c>
      <c r="AE40" s="12">
        <f t="shared" si="5"/>
        <v>104.91633846200996</v>
      </c>
      <c r="AF40" s="12">
        <f t="shared" si="5"/>
        <v>103.45433485945037</v>
      </c>
      <c r="AG40" s="12">
        <f t="shared" si="5"/>
        <v>102.19124164338528</v>
      </c>
      <c r="AH40" s="12">
        <f t="shared" si="5"/>
        <v>101.06197900608416</v>
      </c>
      <c r="AI40" s="11">
        <f t="shared" si="18"/>
        <v>100</v>
      </c>
      <c r="AK40" s="17"/>
      <c r="AL40" s="11">
        <f t="shared" si="13"/>
        <v>-1076400000</v>
      </c>
      <c r="AM40" s="12">
        <f t="shared" si="6"/>
        <v>-1030218121.5702672</v>
      </c>
      <c r="AN40" s="12">
        <f t="shared" si="6"/>
        <v>-984291836.91536868</v>
      </c>
      <c r="AO40" s="12">
        <f t="shared" si="6"/>
        <v>-938873542.71053743</v>
      </c>
      <c r="AP40" s="12">
        <f t="shared" si="6"/>
        <v>-894209288.40698195</v>
      </c>
      <c r="AQ40" s="12">
        <f t="shared" si="6"/>
        <v>-850535719.05097401</v>
      </c>
      <c r="AR40" s="12">
        <f t="shared" si="6"/>
        <v>-808077155.03549659</v>
      </c>
      <c r="AS40" s="12">
        <f t="shared" si="6"/>
        <v>-767042849.88903391</v>
      </c>
      <c r="AT40" s="12">
        <f t="shared" si="6"/>
        <v>-727624463.51336467</v>
      </c>
      <c r="AU40" s="12">
        <f t="shared" si="6"/>
        <v>-689993783.90351832</v>
      </c>
      <c r="AV40" s="12">
        <f t="shared" si="6"/>
        <v>-654300725.46031189</v>
      </c>
      <c r="AW40" s="12">
        <f t="shared" si="6"/>
        <v>-620671626.6945585</v>
      </c>
      <c r="AX40" s="12">
        <f t="shared" si="6"/>
        <v>-589207864.58415401</v>
      </c>
      <c r="AY40" s="12">
        <f t="shared" si="6"/>
        <v>-559984797.2426393</v>
      </c>
      <c r="AZ40" s="12">
        <f t="shared" si="6"/>
        <v>-533051041.04540968</v>
      </c>
      <c r="BA40" s="12">
        <f t="shared" si="6"/>
        <v>-508428083.0794912</v>
      </c>
      <c r="BB40" s="12">
        <f t="shared" si="6"/>
        <v>-486110224.85845441</v>
      </c>
      <c r="BC40" s="12">
        <f t="shared" si="7"/>
        <v>-466064848.77701616</v>
      </c>
      <c r="BD40" s="12">
        <f t="shared" si="7"/>
        <v>-448232994.84626383</v>
      </c>
      <c r="BE40" s="12">
        <f t="shared" si="7"/>
        <v>-432530231.89937639</v>
      </c>
      <c r="BF40" s="12">
        <f t="shared" si="7"/>
        <v>-418847804.71114689</v>
      </c>
      <c r="BG40" s="12">
        <f t="shared" si="7"/>
        <v>-407054036.32815814</v>
      </c>
      <c r="BH40" s="12">
        <f t="shared" si="7"/>
        <v>-396995963.33166361</v>
      </c>
      <c r="BI40" s="12">
        <f t="shared" si="7"/>
        <v>-388501180.70256555</v>
      </c>
      <c r="BJ40" s="12">
        <f t="shared" si="7"/>
        <v>-381379872.36081231</v>
      </c>
      <c r="BK40" s="12">
        <f t="shared" si="7"/>
        <v>-375427003.23093855</v>
      </c>
      <c r="BL40" s="12">
        <f t="shared" si="7"/>
        <v>-370424648.75451529</v>
      </c>
      <c r="BM40" s="12">
        <f t="shared" si="7"/>
        <v>-366144438.03946006</v>
      </c>
      <c r="BN40" s="12">
        <f t="shared" si="7"/>
        <v>-362350087.21810395</v>
      </c>
      <c r="BO40" s="11">
        <f t="shared" si="7"/>
        <v>-358800000</v>
      </c>
      <c r="BQ40" s="16"/>
      <c r="BR40" s="11">
        <v>0</v>
      </c>
      <c r="BS40" s="12">
        <f t="shared" si="14"/>
        <v>0.3415922014622258</v>
      </c>
      <c r="BT40" s="12">
        <f t="shared" si="14"/>
        <v>0.3867162803971414</v>
      </c>
      <c r="BU40" s="12">
        <f t="shared" si="14"/>
        <v>0.39358441341045353</v>
      </c>
      <c r="BV40" s="12">
        <f t="shared" si="14"/>
        <v>0.39465123071155611</v>
      </c>
      <c r="BW40" s="12">
        <f t="shared" si="14"/>
        <v>0.39481745705771337</v>
      </c>
      <c r="BX40" s="12">
        <f t="shared" si="14"/>
        <v>0.39484337025824801</v>
      </c>
      <c r="BY40" s="12">
        <f t="shared" si="14"/>
        <v>0.39484741020089792</v>
      </c>
      <c r="BZ40" s="12">
        <f t="shared" si="14"/>
        <v>0.39484804004704999</v>
      </c>
      <c r="CA40" s="12">
        <f t="shared" si="14"/>
        <v>0.39484813824322279</v>
      </c>
      <c r="CB40" s="12">
        <f t="shared" si="14"/>
        <v>0.39484815355250286</v>
      </c>
      <c r="CC40" s="12">
        <f t="shared" si="14"/>
        <v>0.39484815593929717</v>
      </c>
      <c r="CD40" s="12">
        <f t="shared" si="14"/>
        <v>0.39484815631141046</v>
      </c>
      <c r="CE40" s="12">
        <f t="shared" si="14"/>
        <v>0.39484815636942483</v>
      </c>
      <c r="CF40" s="12">
        <f t="shared" si="14"/>
        <v>0.39484815637846954</v>
      </c>
      <c r="CG40" s="12">
        <f t="shared" si="14"/>
        <v>0.39484815637987963</v>
      </c>
      <c r="CH40" s="12">
        <f t="shared" si="14"/>
        <v>0.39484815638009951</v>
      </c>
      <c r="CI40" s="12">
        <f t="shared" si="9"/>
        <v>0.39484815638013382</v>
      </c>
      <c r="CJ40" s="12">
        <f t="shared" si="9"/>
        <v>0.39484815638013915</v>
      </c>
      <c r="CK40" s="12">
        <f t="shared" si="9"/>
        <v>0.39484815638013998</v>
      </c>
      <c r="CL40" s="12">
        <f t="shared" si="9"/>
        <v>0.39484815638014015</v>
      </c>
      <c r="CM40" s="12">
        <f t="shared" si="9"/>
        <v>0.39484815638014015</v>
      </c>
      <c r="CN40" s="12">
        <f t="shared" si="9"/>
        <v>0.39484815638014015</v>
      </c>
      <c r="CO40" s="12">
        <f t="shared" si="9"/>
        <v>0.39484815638014015</v>
      </c>
      <c r="CP40" s="12">
        <f t="shared" si="9"/>
        <v>0.39484815638014015</v>
      </c>
      <c r="CQ40" s="12">
        <f t="shared" si="9"/>
        <v>0.39484815638014015</v>
      </c>
      <c r="CR40" s="12">
        <f t="shared" si="9"/>
        <v>0.39484815638014015</v>
      </c>
      <c r="CS40" s="12">
        <f t="shared" si="9"/>
        <v>0.39484815638014015</v>
      </c>
      <c r="CT40" s="12">
        <f t="shared" si="9"/>
        <v>0.39484815638014015</v>
      </c>
      <c r="CU40" s="11">
        <f t="shared" si="9"/>
        <v>0.39484815638014015</v>
      </c>
      <c r="CW40" s="16"/>
      <c r="CX40" s="11">
        <f t="shared" si="15"/>
        <v>300</v>
      </c>
      <c r="CY40" s="12">
        <f t="shared" si="16"/>
        <v>193.44454151540521</v>
      </c>
      <c r="CZ40" s="12">
        <f t="shared" si="10"/>
        <v>173.20077052461764</v>
      </c>
      <c r="DA40" s="12">
        <f t="shared" si="10"/>
        <v>163.68843106055763</v>
      </c>
      <c r="DB40" s="12">
        <f t="shared" si="10"/>
        <v>155.82167714194892</v>
      </c>
      <c r="DC40" s="12">
        <f t="shared" si="10"/>
        <v>148.32418654793483</v>
      </c>
      <c r="DD40" s="12">
        <f t="shared" si="10"/>
        <v>141.04011181826985</v>
      </c>
      <c r="DE40" s="12">
        <f t="shared" si="10"/>
        <v>133.97730375540274</v>
      </c>
      <c r="DF40" s="12">
        <f t="shared" si="10"/>
        <v>127.16555025152181</v>
      </c>
      <c r="DG40" s="12">
        <f t="shared" si="10"/>
        <v>120.63520343872956</v>
      </c>
      <c r="DH40" s="12">
        <f t="shared" si="10"/>
        <v>114.41370538840863</v>
      </c>
      <c r="DI40" s="12">
        <f t="shared" si="10"/>
        <v>108.52480945516885</v>
      </c>
      <c r="DJ40" s="12">
        <f t="shared" si="10"/>
        <v>102.98824506412025</v>
      </c>
      <c r="DK40" s="12">
        <f t="shared" si="10"/>
        <v>97.819494265441875</v>
      </c>
      <c r="DL40" s="12">
        <f t="shared" si="10"/>
        <v>93.029632217098694</v>
      </c>
      <c r="DM40" s="12">
        <f t="shared" si="10"/>
        <v>88.625225012625791</v>
      </c>
      <c r="DN40" s="12">
        <f t="shared" si="10"/>
        <v>84.608283648313503</v>
      </c>
      <c r="DO40" s="12">
        <f t="shared" si="10"/>
        <v>80.976273050937138</v>
      </c>
      <c r="DP40" s="12">
        <f t="shared" si="11"/>
        <v>77.722174507935577</v>
      </c>
      <c r="DQ40" s="12">
        <f t="shared" si="11"/>
        <v>74.834599237527243</v>
      </c>
      <c r="DR40" s="12">
        <f t="shared" si="11"/>
        <v>72.297950312292087</v>
      </c>
      <c r="DS40" s="12">
        <f t="shared" si="11"/>
        <v>70.09262972305055</v>
      </c>
      <c r="DT40" s="12">
        <f t="shared" si="11"/>
        <v>68.195287040548507</v>
      </c>
      <c r="DU40" s="12">
        <f t="shared" si="11"/>
        <v>66.579105894969402</v>
      </c>
      <c r="DV40" s="12">
        <f t="shared" si="11"/>
        <v>65.214124338581371</v>
      </c>
      <c r="DW40" s="12">
        <f t="shared" si="11"/>
        <v>64.067585073222318</v>
      </c>
      <c r="DX40" s="12">
        <f t="shared" si="11"/>
        <v>63.104311498362286</v>
      </c>
      <c r="DY40" s="12">
        <f t="shared" si="11"/>
        <v>62.287105552704524</v>
      </c>
      <c r="DZ40" s="12">
        <f t="shared" si="11"/>
        <v>61.577163368070138</v>
      </c>
      <c r="EA40" s="11">
        <f t="shared" si="11"/>
        <v>60.934504814652733</v>
      </c>
    </row>
    <row r="41" spans="5:131" x14ac:dyDescent="0.3">
      <c r="E41" s="16"/>
      <c r="F41" s="11">
        <f t="shared" si="17"/>
        <v>300</v>
      </c>
      <c r="G41" s="12">
        <f t="shared" si="12"/>
        <v>287.20458331783186</v>
      </c>
      <c r="H41" s="12">
        <f t="shared" si="12"/>
        <v>274.47945650127735</v>
      </c>
      <c r="I41" s="12">
        <f t="shared" si="12"/>
        <v>261.89403216396965</v>
      </c>
      <c r="J41" s="12">
        <f t="shared" si="12"/>
        <v>249.51598121594637</v>
      </c>
      <c r="K41" s="12">
        <f t="shared" si="12"/>
        <v>237.41039374200511</v>
      </c>
      <c r="L41" s="12">
        <f t="shared" si="12"/>
        <v>225.63897720725117</v>
      </c>
      <c r="M41" s="12">
        <f t="shared" si="12"/>
        <v>214.25930321091428</v>
      </c>
      <c r="N41" s="12">
        <f t="shared" si="12"/>
        <v>203.3241130153649</v>
      </c>
      <c r="O41" s="12">
        <f t="shared" si="12"/>
        <v>192.8806908976122</v>
      </c>
      <c r="P41" s="12">
        <f t="shared" si="12"/>
        <v>182.97031304318838</v>
      </c>
      <c r="Q41" s="12">
        <f t="shared" si="12"/>
        <v>173.62777826859906</v>
      </c>
      <c r="R41" s="12">
        <f t="shared" si="12"/>
        <v>164.88102536165562</v>
      </c>
      <c r="S41" s="12">
        <f t="shared" si="12"/>
        <v>156.75084031219706</v>
      </c>
      <c r="T41" s="12">
        <f t="shared" si="12"/>
        <v>149.25065521040005</v>
      </c>
      <c r="U41" s="12">
        <f t="shared" si="12"/>
        <v>142.3864391541249</v>
      </c>
      <c r="V41" s="12">
        <f t="shared" si="12"/>
        <v>136.1566801638449</v>
      </c>
      <c r="W41" s="12">
        <f t="shared" si="4"/>
        <v>130.55245588106135</v>
      </c>
      <c r="X41" s="12">
        <f t="shared" si="4"/>
        <v>125.55758974443708</v>
      </c>
      <c r="Y41" s="12">
        <f t="shared" si="5"/>
        <v>121.14888841078451</v>
      </c>
      <c r="Z41" s="12">
        <f t="shared" si="5"/>
        <v>117.29645542188672</v>
      </c>
      <c r="AA41" s="12">
        <f t="shared" si="5"/>
        <v>113.96407551228955</v>
      </c>
      <c r="AB41" s="12">
        <f t="shared" si="5"/>
        <v>111.10966350062361</v>
      </c>
      <c r="AC41" s="12">
        <f t="shared" si="5"/>
        <v>108.68577139501512</v>
      </c>
      <c r="AD41" s="12">
        <f t="shared" si="5"/>
        <v>106.64014715446083</v>
      </c>
      <c r="AE41" s="12">
        <f t="shared" si="5"/>
        <v>104.91633846201</v>
      </c>
      <c r="AF41" s="12">
        <f t="shared" si="5"/>
        <v>103.45433485945038</v>
      </c>
      <c r="AG41" s="12">
        <f t="shared" si="5"/>
        <v>102.19124164338528</v>
      </c>
      <c r="AH41" s="12">
        <f t="shared" si="5"/>
        <v>101.06197900608416</v>
      </c>
      <c r="AI41" s="11">
        <f t="shared" si="18"/>
        <v>100</v>
      </c>
      <c r="AK41" s="17"/>
      <c r="AL41" s="11">
        <f t="shared" si="13"/>
        <v>-1076400000</v>
      </c>
      <c r="AM41" s="12">
        <f t="shared" si="6"/>
        <v>-1030218121.5702674</v>
      </c>
      <c r="AN41" s="12">
        <f t="shared" si="6"/>
        <v>-984291836.91536891</v>
      </c>
      <c r="AO41" s="12">
        <f t="shared" si="6"/>
        <v>-938873542.71053755</v>
      </c>
      <c r="AP41" s="12">
        <f t="shared" si="6"/>
        <v>-894209288.40698218</v>
      </c>
      <c r="AQ41" s="12">
        <f t="shared" si="6"/>
        <v>-850535719.05097425</v>
      </c>
      <c r="AR41" s="12">
        <f t="shared" si="6"/>
        <v>-808077155.03549683</v>
      </c>
      <c r="AS41" s="12">
        <f t="shared" si="6"/>
        <v>-767042849.88903415</v>
      </c>
      <c r="AT41" s="12">
        <f t="shared" si="6"/>
        <v>-727624463.51336491</v>
      </c>
      <c r="AU41" s="12">
        <f t="shared" si="6"/>
        <v>-689993783.90351844</v>
      </c>
      <c r="AV41" s="12">
        <f t="shared" si="6"/>
        <v>-654300725.46031201</v>
      </c>
      <c r="AW41" s="12">
        <f t="shared" si="6"/>
        <v>-620671626.69455862</v>
      </c>
      <c r="AX41" s="12">
        <f t="shared" si="6"/>
        <v>-589207864.58415425</v>
      </c>
      <c r="AY41" s="12">
        <f t="shared" si="6"/>
        <v>-559984797.24263954</v>
      </c>
      <c r="AZ41" s="12">
        <f t="shared" si="6"/>
        <v>-533051041.04540986</v>
      </c>
      <c r="BA41" s="12">
        <f t="shared" si="6"/>
        <v>-508428083.07949144</v>
      </c>
      <c r="BB41" s="12">
        <f t="shared" si="6"/>
        <v>-486110224.85845464</v>
      </c>
      <c r="BC41" s="12">
        <f t="shared" si="7"/>
        <v>-466064848.77701628</v>
      </c>
      <c r="BD41" s="12">
        <f t="shared" si="7"/>
        <v>-448232994.846264</v>
      </c>
      <c r="BE41" s="12">
        <f t="shared" si="7"/>
        <v>-432530231.89937657</v>
      </c>
      <c r="BF41" s="12">
        <f t="shared" si="7"/>
        <v>-418847804.71114713</v>
      </c>
      <c r="BG41" s="12">
        <f t="shared" si="7"/>
        <v>-407054036.3281582</v>
      </c>
      <c r="BH41" s="12">
        <f t="shared" si="7"/>
        <v>-396995963.33166367</v>
      </c>
      <c r="BI41" s="12">
        <f t="shared" si="7"/>
        <v>-388501180.70256561</v>
      </c>
      <c r="BJ41" s="12">
        <f t="shared" si="7"/>
        <v>-381379872.36081243</v>
      </c>
      <c r="BK41" s="12">
        <f t="shared" si="7"/>
        <v>-375427003.23093867</v>
      </c>
      <c r="BL41" s="12">
        <f t="shared" si="7"/>
        <v>-370424648.75451535</v>
      </c>
      <c r="BM41" s="12">
        <f t="shared" si="7"/>
        <v>-366144438.03946012</v>
      </c>
      <c r="BN41" s="12">
        <f t="shared" si="7"/>
        <v>-362350087.218104</v>
      </c>
      <c r="BO41" s="11">
        <f t="shared" si="7"/>
        <v>-358800000</v>
      </c>
      <c r="BQ41" s="16"/>
      <c r="BR41" s="11">
        <v>0</v>
      </c>
      <c r="BS41" s="12">
        <f t="shared" si="14"/>
        <v>0.3415922014622258</v>
      </c>
      <c r="BT41" s="12">
        <f t="shared" si="14"/>
        <v>0.3867162803971414</v>
      </c>
      <c r="BU41" s="12">
        <f t="shared" si="14"/>
        <v>0.39358441341045353</v>
      </c>
      <c r="BV41" s="12">
        <f t="shared" si="14"/>
        <v>0.39465123071155611</v>
      </c>
      <c r="BW41" s="12">
        <f t="shared" si="14"/>
        <v>0.39481745705771337</v>
      </c>
      <c r="BX41" s="12">
        <f t="shared" si="14"/>
        <v>0.39484337025824801</v>
      </c>
      <c r="BY41" s="12">
        <f t="shared" si="14"/>
        <v>0.39484741020089792</v>
      </c>
      <c r="BZ41" s="12">
        <f t="shared" si="14"/>
        <v>0.39484804004704999</v>
      </c>
      <c r="CA41" s="12">
        <f t="shared" si="14"/>
        <v>0.39484813824322279</v>
      </c>
      <c r="CB41" s="12">
        <f t="shared" si="14"/>
        <v>0.39484815355250286</v>
      </c>
      <c r="CC41" s="12">
        <f t="shared" si="14"/>
        <v>0.39484815593929717</v>
      </c>
      <c r="CD41" s="12">
        <f t="shared" si="14"/>
        <v>0.39484815631141046</v>
      </c>
      <c r="CE41" s="12">
        <f t="shared" si="14"/>
        <v>0.39484815636942483</v>
      </c>
      <c r="CF41" s="12">
        <f t="shared" si="14"/>
        <v>0.39484815637846954</v>
      </c>
      <c r="CG41" s="12">
        <f t="shared" si="14"/>
        <v>0.39484815637987963</v>
      </c>
      <c r="CH41" s="12">
        <f t="shared" si="14"/>
        <v>0.39484815638009951</v>
      </c>
      <c r="CI41" s="12">
        <f t="shared" si="9"/>
        <v>0.39484815638013382</v>
      </c>
      <c r="CJ41" s="12">
        <f t="shared" si="9"/>
        <v>0.39484815638013915</v>
      </c>
      <c r="CK41" s="12">
        <f t="shared" si="9"/>
        <v>0.39484815638013998</v>
      </c>
      <c r="CL41" s="12">
        <f t="shared" si="9"/>
        <v>0.39484815638014015</v>
      </c>
      <c r="CM41" s="12">
        <f t="shared" si="9"/>
        <v>0.39484815638014015</v>
      </c>
      <c r="CN41" s="12">
        <f t="shared" si="9"/>
        <v>0.39484815638014015</v>
      </c>
      <c r="CO41" s="12">
        <f t="shared" si="9"/>
        <v>0.39484815638014015</v>
      </c>
      <c r="CP41" s="12">
        <f t="shared" si="9"/>
        <v>0.39484815638014015</v>
      </c>
      <c r="CQ41" s="12">
        <f t="shared" si="9"/>
        <v>0.39484815638014015</v>
      </c>
      <c r="CR41" s="12">
        <f t="shared" si="9"/>
        <v>0.39484815638014015</v>
      </c>
      <c r="CS41" s="12">
        <f t="shared" si="9"/>
        <v>0.39484815638014015</v>
      </c>
      <c r="CT41" s="12">
        <f t="shared" si="9"/>
        <v>0.39484815638014015</v>
      </c>
      <c r="CU41" s="11">
        <f t="shared" si="9"/>
        <v>0.39484815638014015</v>
      </c>
      <c r="CW41" s="16"/>
      <c r="CX41" s="11">
        <f t="shared" si="15"/>
        <v>300</v>
      </c>
      <c r="CY41" s="12">
        <f t="shared" si="16"/>
        <v>193.44454151540526</v>
      </c>
      <c r="CZ41" s="12">
        <f t="shared" si="10"/>
        <v>173.2007705246177</v>
      </c>
      <c r="DA41" s="12">
        <f t="shared" si="10"/>
        <v>163.68843106055763</v>
      </c>
      <c r="DB41" s="12">
        <f t="shared" si="10"/>
        <v>155.82167714194892</v>
      </c>
      <c r="DC41" s="12">
        <f t="shared" si="10"/>
        <v>148.32418654793486</v>
      </c>
      <c r="DD41" s="12">
        <f t="shared" si="10"/>
        <v>141.04011181826991</v>
      </c>
      <c r="DE41" s="12">
        <f t="shared" si="10"/>
        <v>133.97730375540277</v>
      </c>
      <c r="DF41" s="12">
        <f t="shared" si="10"/>
        <v>127.16555025152186</v>
      </c>
      <c r="DG41" s="12">
        <f t="shared" si="10"/>
        <v>120.6352034387296</v>
      </c>
      <c r="DH41" s="12">
        <f t="shared" si="10"/>
        <v>114.41370538840866</v>
      </c>
      <c r="DI41" s="12">
        <f t="shared" si="10"/>
        <v>108.52480945516886</v>
      </c>
      <c r="DJ41" s="12">
        <f t="shared" si="10"/>
        <v>102.98824506412029</v>
      </c>
      <c r="DK41" s="12">
        <f t="shared" si="10"/>
        <v>97.819494265441904</v>
      </c>
      <c r="DL41" s="12">
        <f t="shared" si="10"/>
        <v>93.029632217098722</v>
      </c>
      <c r="DM41" s="12">
        <f t="shared" si="10"/>
        <v>88.625225012625819</v>
      </c>
      <c r="DN41" s="12">
        <f t="shared" si="10"/>
        <v>84.608283648313531</v>
      </c>
      <c r="DO41" s="12">
        <f t="shared" si="10"/>
        <v>80.976273050937166</v>
      </c>
      <c r="DP41" s="12">
        <f t="shared" si="11"/>
        <v>77.72217450793562</v>
      </c>
      <c r="DQ41" s="12">
        <f t="shared" si="11"/>
        <v>74.834599237527271</v>
      </c>
      <c r="DR41" s="12">
        <f t="shared" si="11"/>
        <v>72.297950312292116</v>
      </c>
      <c r="DS41" s="12">
        <f t="shared" si="11"/>
        <v>70.092629723050578</v>
      </c>
      <c r="DT41" s="12">
        <f t="shared" si="11"/>
        <v>68.195287040548507</v>
      </c>
      <c r="DU41" s="12">
        <f t="shared" si="11"/>
        <v>66.579105894969416</v>
      </c>
      <c r="DV41" s="12">
        <f t="shared" si="11"/>
        <v>65.214124338581399</v>
      </c>
      <c r="DW41" s="12">
        <f t="shared" si="11"/>
        <v>64.067585073222347</v>
      </c>
      <c r="DX41" s="12">
        <f t="shared" si="11"/>
        <v>63.1043114983623</v>
      </c>
      <c r="DY41" s="12">
        <f t="shared" si="11"/>
        <v>62.287105552704524</v>
      </c>
      <c r="DZ41" s="12">
        <f t="shared" si="11"/>
        <v>61.577163368070138</v>
      </c>
      <c r="EA41" s="11">
        <f t="shared" si="11"/>
        <v>60.934504814652733</v>
      </c>
    </row>
    <row r="42" spans="5:131" x14ac:dyDescent="0.3">
      <c r="E42" s="16"/>
      <c r="F42" s="11">
        <f t="shared" si="17"/>
        <v>300</v>
      </c>
      <c r="G42" s="12">
        <f t="shared" si="12"/>
        <v>287.20458331783186</v>
      </c>
      <c r="H42" s="12">
        <f t="shared" si="12"/>
        <v>274.47945650127741</v>
      </c>
      <c r="I42" s="12">
        <f t="shared" si="12"/>
        <v>261.89403216396971</v>
      </c>
      <c r="J42" s="12">
        <f t="shared" si="12"/>
        <v>249.51598121594648</v>
      </c>
      <c r="K42" s="12">
        <f t="shared" si="12"/>
        <v>237.4103937420052</v>
      </c>
      <c r="L42" s="12">
        <f t="shared" si="12"/>
        <v>225.63897720725123</v>
      </c>
      <c r="M42" s="12">
        <f t="shared" si="12"/>
        <v>214.25930321091437</v>
      </c>
      <c r="N42" s="12">
        <f t="shared" si="12"/>
        <v>203.32411301536499</v>
      </c>
      <c r="O42" s="12">
        <f t="shared" si="12"/>
        <v>192.88069089761228</v>
      </c>
      <c r="P42" s="12">
        <f t="shared" si="12"/>
        <v>182.97031304318847</v>
      </c>
      <c r="Q42" s="12">
        <f t="shared" si="12"/>
        <v>173.62777826859917</v>
      </c>
      <c r="R42" s="12">
        <f t="shared" si="12"/>
        <v>164.88102536165567</v>
      </c>
      <c r="S42" s="12">
        <f t="shared" si="12"/>
        <v>156.75084031219711</v>
      </c>
      <c r="T42" s="12">
        <f t="shared" si="12"/>
        <v>149.25065521040014</v>
      </c>
      <c r="U42" s="12">
        <f t="shared" si="12"/>
        <v>142.38643915412496</v>
      </c>
      <c r="V42" s="12">
        <f t="shared" si="12"/>
        <v>136.15668016384495</v>
      </c>
      <c r="W42" s="12">
        <f t="shared" si="4"/>
        <v>130.55245588106141</v>
      </c>
      <c r="X42" s="12">
        <f t="shared" si="4"/>
        <v>125.55758974443715</v>
      </c>
      <c r="Y42" s="12">
        <f t="shared" si="5"/>
        <v>121.14888841078459</v>
      </c>
      <c r="Z42" s="12">
        <f t="shared" si="5"/>
        <v>117.29645542188679</v>
      </c>
      <c r="AA42" s="12">
        <f t="shared" si="5"/>
        <v>113.96407551228961</v>
      </c>
      <c r="AB42" s="12">
        <f t="shared" si="5"/>
        <v>111.10966350062367</v>
      </c>
      <c r="AC42" s="12">
        <f t="shared" si="5"/>
        <v>108.68577139501517</v>
      </c>
      <c r="AD42" s="12">
        <f t="shared" si="5"/>
        <v>106.64014715446088</v>
      </c>
      <c r="AE42" s="12">
        <f t="shared" si="5"/>
        <v>104.91633846201003</v>
      </c>
      <c r="AF42" s="12">
        <f t="shared" si="5"/>
        <v>103.45433485945043</v>
      </c>
      <c r="AG42" s="12">
        <f t="shared" si="5"/>
        <v>102.19124164338533</v>
      </c>
      <c r="AH42" s="12">
        <f t="shared" si="5"/>
        <v>101.06197900608419</v>
      </c>
      <c r="AI42" s="11">
        <f t="shared" si="18"/>
        <v>100</v>
      </c>
      <c r="AK42" s="17"/>
      <c r="AL42" s="11">
        <f t="shared" si="13"/>
        <v>-1076400000</v>
      </c>
      <c r="AM42" s="12">
        <f t="shared" si="6"/>
        <v>-1030218121.5702677</v>
      </c>
      <c r="AN42" s="12">
        <f t="shared" si="6"/>
        <v>-984291836.91536927</v>
      </c>
      <c r="AO42" s="12">
        <f t="shared" si="6"/>
        <v>-938873542.71053779</v>
      </c>
      <c r="AP42" s="12">
        <f t="shared" si="6"/>
        <v>-894209288.40698254</v>
      </c>
      <c r="AQ42" s="12">
        <f t="shared" si="6"/>
        <v>-850535719.05097449</v>
      </c>
      <c r="AR42" s="12">
        <f t="shared" si="6"/>
        <v>-808077155.03549719</v>
      </c>
      <c r="AS42" s="12">
        <f t="shared" si="6"/>
        <v>-767042849.88903439</v>
      </c>
      <c r="AT42" s="12">
        <f t="shared" si="6"/>
        <v>-727624463.51336515</v>
      </c>
      <c r="AU42" s="12">
        <f t="shared" si="6"/>
        <v>-689993783.9035188</v>
      </c>
      <c r="AV42" s="12">
        <f t="shared" si="6"/>
        <v>-654300725.46031237</v>
      </c>
      <c r="AW42" s="12">
        <f t="shared" si="6"/>
        <v>-620671626.6945591</v>
      </c>
      <c r="AX42" s="12">
        <f t="shared" si="6"/>
        <v>-589207864.58415449</v>
      </c>
      <c r="AY42" s="12">
        <f t="shared" si="6"/>
        <v>-559984797.24263966</v>
      </c>
      <c r="AZ42" s="12">
        <f t="shared" si="6"/>
        <v>-533051041.0454101</v>
      </c>
      <c r="BA42" s="12">
        <f t="shared" si="6"/>
        <v>-508428083.07949162</v>
      </c>
      <c r="BB42" s="12">
        <f t="shared" si="6"/>
        <v>-486110224.85845482</v>
      </c>
      <c r="BC42" s="12">
        <f t="shared" si="7"/>
        <v>-466064848.77701646</v>
      </c>
      <c r="BD42" s="12">
        <f t="shared" si="7"/>
        <v>-448232994.84626424</v>
      </c>
      <c r="BE42" s="12">
        <f t="shared" si="7"/>
        <v>-432530231.89937681</v>
      </c>
      <c r="BF42" s="12">
        <f t="shared" si="7"/>
        <v>-418847804.71114731</v>
      </c>
      <c r="BG42" s="12">
        <f t="shared" si="7"/>
        <v>-407054036.32815838</v>
      </c>
      <c r="BH42" s="12">
        <f t="shared" si="7"/>
        <v>-396995963.33166391</v>
      </c>
      <c r="BI42" s="12">
        <f t="shared" si="7"/>
        <v>-388501180.70256579</v>
      </c>
      <c r="BJ42" s="12">
        <f t="shared" si="7"/>
        <v>-381379872.36081254</v>
      </c>
      <c r="BK42" s="12">
        <f t="shared" si="7"/>
        <v>-375427003.23093873</v>
      </c>
      <c r="BL42" s="12">
        <f t="shared" si="7"/>
        <v>-370424648.75451547</v>
      </c>
      <c r="BM42" s="12">
        <f t="shared" si="7"/>
        <v>-366144438.0394603</v>
      </c>
      <c r="BN42" s="12">
        <f t="shared" si="7"/>
        <v>-362350087.21810412</v>
      </c>
      <c r="BO42" s="11">
        <f t="shared" si="7"/>
        <v>-358800000</v>
      </c>
      <c r="BQ42" s="16"/>
      <c r="BR42" s="11">
        <v>0</v>
      </c>
      <c r="BS42" s="12">
        <f t="shared" si="14"/>
        <v>0.3415922014622258</v>
      </c>
      <c r="BT42" s="12">
        <f t="shared" si="14"/>
        <v>0.3867162803971414</v>
      </c>
      <c r="BU42" s="12">
        <f t="shared" si="14"/>
        <v>0.39358441341045353</v>
      </c>
      <c r="BV42" s="12">
        <f t="shared" si="14"/>
        <v>0.39465123071155611</v>
      </c>
      <c r="BW42" s="12">
        <f t="shared" si="14"/>
        <v>0.39481745705771337</v>
      </c>
      <c r="BX42" s="12">
        <f t="shared" si="14"/>
        <v>0.39484337025824801</v>
      </c>
      <c r="BY42" s="12">
        <f t="shared" si="14"/>
        <v>0.39484741020089792</v>
      </c>
      <c r="BZ42" s="12">
        <f t="shared" si="14"/>
        <v>0.39484804004704999</v>
      </c>
      <c r="CA42" s="12">
        <f t="shared" si="14"/>
        <v>0.39484813824322279</v>
      </c>
      <c r="CB42" s="12">
        <f t="shared" si="14"/>
        <v>0.39484815355250286</v>
      </c>
      <c r="CC42" s="12">
        <f t="shared" si="14"/>
        <v>0.39484815593929717</v>
      </c>
      <c r="CD42" s="12">
        <f t="shared" si="14"/>
        <v>0.39484815631141046</v>
      </c>
      <c r="CE42" s="12">
        <f t="shared" si="14"/>
        <v>0.39484815636942483</v>
      </c>
      <c r="CF42" s="12">
        <f t="shared" si="14"/>
        <v>0.39484815637846954</v>
      </c>
      <c r="CG42" s="12">
        <f t="shared" si="14"/>
        <v>0.39484815637987963</v>
      </c>
      <c r="CH42" s="12">
        <f t="shared" si="14"/>
        <v>0.39484815638009951</v>
      </c>
      <c r="CI42" s="12">
        <f t="shared" si="9"/>
        <v>0.39484815638013382</v>
      </c>
      <c r="CJ42" s="12">
        <f t="shared" si="9"/>
        <v>0.39484815638013915</v>
      </c>
      <c r="CK42" s="12">
        <f t="shared" si="9"/>
        <v>0.39484815638013998</v>
      </c>
      <c r="CL42" s="12">
        <f t="shared" si="9"/>
        <v>0.39484815638014015</v>
      </c>
      <c r="CM42" s="12">
        <f t="shared" si="9"/>
        <v>0.39484815638014015</v>
      </c>
      <c r="CN42" s="12">
        <f t="shared" si="9"/>
        <v>0.39484815638014015</v>
      </c>
      <c r="CO42" s="12">
        <f t="shared" si="9"/>
        <v>0.39484815638014015</v>
      </c>
      <c r="CP42" s="12">
        <f t="shared" si="9"/>
        <v>0.39484815638014015</v>
      </c>
      <c r="CQ42" s="12">
        <f t="shared" si="9"/>
        <v>0.39484815638014015</v>
      </c>
      <c r="CR42" s="12">
        <f t="shared" si="9"/>
        <v>0.39484815638014015</v>
      </c>
      <c r="CS42" s="12">
        <f t="shared" si="9"/>
        <v>0.39484815638014015</v>
      </c>
      <c r="CT42" s="12">
        <f t="shared" si="9"/>
        <v>0.39484815638014015</v>
      </c>
      <c r="CU42" s="11">
        <f t="shared" si="9"/>
        <v>0.39484815638014015</v>
      </c>
      <c r="CW42" s="16"/>
      <c r="CX42" s="11">
        <f t="shared" si="15"/>
        <v>300</v>
      </c>
      <c r="CY42" s="12">
        <f t="shared" si="16"/>
        <v>193.44454151540529</v>
      </c>
      <c r="CZ42" s="12">
        <f t="shared" si="10"/>
        <v>173.20077052461775</v>
      </c>
      <c r="DA42" s="12">
        <f t="shared" si="10"/>
        <v>163.68843106055769</v>
      </c>
      <c r="DB42" s="12">
        <f t="shared" si="10"/>
        <v>155.82167714194901</v>
      </c>
      <c r="DC42" s="12">
        <f t="shared" si="10"/>
        <v>148.32418654793491</v>
      </c>
      <c r="DD42" s="12">
        <f t="shared" si="10"/>
        <v>141.04011181826996</v>
      </c>
      <c r="DE42" s="12">
        <f t="shared" si="10"/>
        <v>133.97730375540283</v>
      </c>
      <c r="DF42" s="12">
        <f t="shared" si="10"/>
        <v>127.16555025152191</v>
      </c>
      <c r="DG42" s="12">
        <f t="shared" si="10"/>
        <v>120.63520343872966</v>
      </c>
      <c r="DH42" s="12">
        <f t="shared" si="10"/>
        <v>114.4137053884087</v>
      </c>
      <c r="DI42" s="12">
        <f t="shared" si="10"/>
        <v>108.52480945516893</v>
      </c>
      <c r="DJ42" s="12">
        <f t="shared" si="10"/>
        <v>102.98824506412033</v>
      </c>
      <c r="DK42" s="12">
        <f t="shared" si="10"/>
        <v>97.819494265441932</v>
      </c>
      <c r="DL42" s="12">
        <f t="shared" si="10"/>
        <v>93.029632217098779</v>
      </c>
      <c r="DM42" s="12">
        <f t="shared" si="10"/>
        <v>88.625225012625862</v>
      </c>
      <c r="DN42" s="12">
        <f t="shared" si="10"/>
        <v>84.608283648313574</v>
      </c>
      <c r="DO42" s="12">
        <f t="shared" si="10"/>
        <v>80.976273050937195</v>
      </c>
      <c r="DP42" s="12">
        <f t="shared" si="11"/>
        <v>77.722174507935648</v>
      </c>
      <c r="DQ42" s="12">
        <f t="shared" si="11"/>
        <v>74.834599237527314</v>
      </c>
      <c r="DR42" s="12">
        <f t="shared" si="11"/>
        <v>72.297950312292159</v>
      </c>
      <c r="DS42" s="12">
        <f t="shared" si="11"/>
        <v>70.092629723050607</v>
      </c>
      <c r="DT42" s="12">
        <f t="shared" si="11"/>
        <v>68.195287040548564</v>
      </c>
      <c r="DU42" s="12">
        <f t="shared" si="11"/>
        <v>66.579105894969445</v>
      </c>
      <c r="DV42" s="12">
        <f t="shared" si="11"/>
        <v>65.214124338581428</v>
      </c>
      <c r="DW42" s="12">
        <f t="shared" si="11"/>
        <v>64.067585073222361</v>
      </c>
      <c r="DX42" s="12">
        <f t="shared" si="11"/>
        <v>63.104311498362328</v>
      </c>
      <c r="DY42" s="12">
        <f t="shared" si="11"/>
        <v>62.28710555270456</v>
      </c>
      <c r="DZ42" s="12">
        <f t="shared" si="11"/>
        <v>61.577163368070167</v>
      </c>
      <c r="EA42" s="11">
        <f t="shared" si="11"/>
        <v>60.934504814652733</v>
      </c>
    </row>
    <row r="43" spans="5:131" x14ac:dyDescent="0.3">
      <c r="E43" s="16"/>
      <c r="F43" s="11">
        <f t="shared" si="17"/>
        <v>300</v>
      </c>
      <c r="G43" s="12">
        <f t="shared" si="12"/>
        <v>287.20458331783192</v>
      </c>
      <c r="H43" s="12">
        <f t="shared" si="12"/>
        <v>274.47945650127747</v>
      </c>
      <c r="I43" s="12">
        <f t="shared" si="12"/>
        <v>261.89403216396983</v>
      </c>
      <c r="J43" s="12">
        <f t="shared" si="12"/>
        <v>249.51598121594654</v>
      </c>
      <c r="K43" s="12">
        <f t="shared" si="12"/>
        <v>237.41039374200528</v>
      </c>
      <c r="L43" s="12">
        <f t="shared" si="12"/>
        <v>225.63897720725134</v>
      </c>
      <c r="M43" s="12">
        <f t="shared" si="12"/>
        <v>214.25930321091448</v>
      </c>
      <c r="N43" s="12">
        <f t="shared" si="12"/>
        <v>203.32411301536507</v>
      </c>
      <c r="O43" s="12">
        <f t="shared" si="12"/>
        <v>192.88069089761234</v>
      </c>
      <c r="P43" s="12">
        <f t="shared" si="12"/>
        <v>182.97031304318853</v>
      </c>
      <c r="Q43" s="12">
        <f t="shared" si="12"/>
        <v>173.62777826859923</v>
      </c>
      <c r="R43" s="12">
        <f t="shared" si="12"/>
        <v>164.88102536165576</v>
      </c>
      <c r="S43" s="12">
        <f t="shared" si="12"/>
        <v>156.7508403121972</v>
      </c>
      <c r="T43" s="12">
        <f t="shared" si="12"/>
        <v>149.25065521040023</v>
      </c>
      <c r="U43" s="12">
        <f t="shared" si="12"/>
        <v>142.38643915412504</v>
      </c>
      <c r="V43" s="12">
        <f t="shared" si="12"/>
        <v>136.15668016384504</v>
      </c>
      <c r="W43" s="12">
        <f t="shared" si="4"/>
        <v>130.55245588106149</v>
      </c>
      <c r="X43" s="12">
        <f t="shared" si="4"/>
        <v>125.55758974443722</v>
      </c>
      <c r="Y43" s="12">
        <f t="shared" si="5"/>
        <v>121.14888841078465</v>
      </c>
      <c r="Z43" s="12">
        <f t="shared" si="5"/>
        <v>117.29645542188683</v>
      </c>
      <c r="AA43" s="12">
        <f t="shared" si="5"/>
        <v>113.96407551228967</v>
      </c>
      <c r="AB43" s="12">
        <f t="shared" si="5"/>
        <v>111.10966350062372</v>
      </c>
      <c r="AC43" s="12">
        <f t="shared" si="5"/>
        <v>108.68577139501521</v>
      </c>
      <c r="AD43" s="12">
        <f t="shared" si="5"/>
        <v>106.64014715446091</v>
      </c>
      <c r="AE43" s="12">
        <f t="shared" si="5"/>
        <v>104.91633846201006</v>
      </c>
      <c r="AF43" s="12">
        <f t="shared" si="5"/>
        <v>103.45433485945046</v>
      </c>
      <c r="AG43" s="12">
        <f t="shared" si="5"/>
        <v>102.19124164338535</v>
      </c>
      <c r="AH43" s="12">
        <f t="shared" si="5"/>
        <v>101.06197900608419</v>
      </c>
      <c r="AI43" s="11">
        <f t="shared" si="18"/>
        <v>100</v>
      </c>
      <c r="AK43" s="17"/>
      <c r="AL43" s="11">
        <f t="shared" si="13"/>
        <v>-1076400000</v>
      </c>
      <c r="AM43" s="12">
        <f t="shared" si="6"/>
        <v>-1030218121.5702678</v>
      </c>
      <c r="AN43" s="12">
        <f t="shared" si="6"/>
        <v>-984291836.91536951</v>
      </c>
      <c r="AO43" s="12">
        <f t="shared" si="6"/>
        <v>-938873542.71053815</v>
      </c>
      <c r="AP43" s="12">
        <f t="shared" si="6"/>
        <v>-894209288.40698278</v>
      </c>
      <c r="AQ43" s="12">
        <f t="shared" si="6"/>
        <v>-850535719.05097473</v>
      </c>
      <c r="AR43" s="12">
        <f t="shared" si="6"/>
        <v>-808077155.03549755</v>
      </c>
      <c r="AS43" s="12">
        <f t="shared" si="6"/>
        <v>-767042849.88903463</v>
      </c>
      <c r="AT43" s="12">
        <f t="shared" si="6"/>
        <v>-727624463.51336551</v>
      </c>
      <c r="AU43" s="12">
        <f t="shared" si="6"/>
        <v>-689993783.90351915</v>
      </c>
      <c r="AV43" s="12">
        <f t="shared" si="6"/>
        <v>-654300725.4603126</v>
      </c>
      <c r="AW43" s="12">
        <f t="shared" si="6"/>
        <v>-620671626.69455922</v>
      </c>
      <c r="AX43" s="12">
        <f t="shared" si="6"/>
        <v>-589207864.58415484</v>
      </c>
      <c r="AY43" s="12">
        <f t="shared" si="6"/>
        <v>-559984797.24264014</v>
      </c>
      <c r="AZ43" s="12">
        <f t="shared" si="6"/>
        <v>-533051041.04541051</v>
      </c>
      <c r="BA43" s="12">
        <f t="shared" si="6"/>
        <v>-508428083.07949191</v>
      </c>
      <c r="BB43" s="12">
        <f t="shared" si="6"/>
        <v>-486110224.85845512</v>
      </c>
      <c r="BC43" s="12">
        <f t="shared" si="7"/>
        <v>-466064848.77701676</v>
      </c>
      <c r="BD43" s="12">
        <f t="shared" si="7"/>
        <v>-448232994.84626442</v>
      </c>
      <c r="BE43" s="12">
        <f t="shared" si="7"/>
        <v>-432530231.89937705</v>
      </c>
      <c r="BF43" s="12">
        <f t="shared" si="7"/>
        <v>-418847804.71114749</v>
      </c>
      <c r="BG43" s="12">
        <f t="shared" si="7"/>
        <v>-407054036.32815856</v>
      </c>
      <c r="BH43" s="12">
        <f t="shared" si="7"/>
        <v>-396995963.3316642</v>
      </c>
      <c r="BI43" s="12">
        <f t="shared" si="7"/>
        <v>-388501180.70256597</v>
      </c>
      <c r="BJ43" s="12">
        <f t="shared" si="7"/>
        <v>-381379872.36081272</v>
      </c>
      <c r="BK43" s="12">
        <f t="shared" si="7"/>
        <v>-375427003.23093897</v>
      </c>
      <c r="BL43" s="12">
        <f t="shared" si="7"/>
        <v>-370424648.75451559</v>
      </c>
      <c r="BM43" s="12">
        <f t="shared" si="7"/>
        <v>-366144438.03946036</v>
      </c>
      <c r="BN43" s="12">
        <f t="shared" si="7"/>
        <v>-362350087.21810418</v>
      </c>
      <c r="BO43" s="11">
        <f t="shared" si="7"/>
        <v>-358800000</v>
      </c>
      <c r="BQ43" s="16"/>
      <c r="BR43" s="11">
        <v>0</v>
      </c>
      <c r="BS43" s="12">
        <f t="shared" si="14"/>
        <v>0.3415922014622258</v>
      </c>
      <c r="BT43" s="12">
        <f t="shared" si="14"/>
        <v>0.3867162803971414</v>
      </c>
      <c r="BU43" s="12">
        <f t="shared" si="14"/>
        <v>0.39358441341045353</v>
      </c>
      <c r="BV43" s="12">
        <f t="shared" si="14"/>
        <v>0.39465123071155611</v>
      </c>
      <c r="BW43" s="12">
        <f t="shared" si="14"/>
        <v>0.39481745705771337</v>
      </c>
      <c r="BX43" s="12">
        <f t="shared" si="14"/>
        <v>0.39484337025824801</v>
      </c>
      <c r="BY43" s="12">
        <f t="shared" si="14"/>
        <v>0.39484741020089792</v>
      </c>
      <c r="BZ43" s="12">
        <f t="shared" si="14"/>
        <v>0.39484804004704999</v>
      </c>
      <c r="CA43" s="12">
        <f t="shared" si="14"/>
        <v>0.39484813824322279</v>
      </c>
      <c r="CB43" s="12">
        <f t="shared" si="14"/>
        <v>0.39484815355250286</v>
      </c>
      <c r="CC43" s="12">
        <f t="shared" si="14"/>
        <v>0.39484815593929717</v>
      </c>
      <c r="CD43" s="12">
        <f t="shared" si="14"/>
        <v>0.39484815631141046</v>
      </c>
      <c r="CE43" s="12">
        <f t="shared" si="14"/>
        <v>0.39484815636942483</v>
      </c>
      <c r="CF43" s="12">
        <f t="shared" si="14"/>
        <v>0.39484815637846954</v>
      </c>
      <c r="CG43" s="12">
        <f t="shared" si="14"/>
        <v>0.39484815637987963</v>
      </c>
      <c r="CH43" s="12">
        <f t="shared" si="14"/>
        <v>0.39484815638009951</v>
      </c>
      <c r="CI43" s="12">
        <f t="shared" si="9"/>
        <v>0.39484815638013382</v>
      </c>
      <c r="CJ43" s="12">
        <f t="shared" si="9"/>
        <v>0.39484815638013915</v>
      </c>
      <c r="CK43" s="12">
        <f t="shared" si="9"/>
        <v>0.39484815638013998</v>
      </c>
      <c r="CL43" s="12">
        <f t="shared" si="9"/>
        <v>0.39484815638014015</v>
      </c>
      <c r="CM43" s="12">
        <f t="shared" si="9"/>
        <v>0.39484815638014015</v>
      </c>
      <c r="CN43" s="12">
        <f t="shared" si="9"/>
        <v>0.39484815638014015</v>
      </c>
      <c r="CO43" s="12">
        <f t="shared" si="9"/>
        <v>0.39484815638014015</v>
      </c>
      <c r="CP43" s="12">
        <f t="shared" si="9"/>
        <v>0.39484815638014015</v>
      </c>
      <c r="CQ43" s="12">
        <f t="shared" si="9"/>
        <v>0.39484815638014015</v>
      </c>
      <c r="CR43" s="12">
        <f t="shared" si="9"/>
        <v>0.39484815638014015</v>
      </c>
      <c r="CS43" s="12">
        <f t="shared" si="9"/>
        <v>0.39484815638014015</v>
      </c>
      <c r="CT43" s="12">
        <f t="shared" si="9"/>
        <v>0.39484815638014015</v>
      </c>
      <c r="CU43" s="11">
        <f t="shared" si="9"/>
        <v>0.39484815638014015</v>
      </c>
      <c r="CW43" s="16"/>
      <c r="CX43" s="11">
        <f t="shared" si="15"/>
        <v>300</v>
      </c>
      <c r="CY43" s="12">
        <f t="shared" si="16"/>
        <v>193.44454151540529</v>
      </c>
      <c r="CZ43" s="12">
        <f t="shared" si="10"/>
        <v>173.20077052461775</v>
      </c>
      <c r="DA43" s="12">
        <f t="shared" si="10"/>
        <v>163.68843106055775</v>
      </c>
      <c r="DB43" s="12">
        <f t="shared" si="10"/>
        <v>155.82167714194904</v>
      </c>
      <c r="DC43" s="12">
        <f t="shared" si="10"/>
        <v>148.32418654793494</v>
      </c>
      <c r="DD43" s="12">
        <f t="shared" si="10"/>
        <v>141.04011181826999</v>
      </c>
      <c r="DE43" s="12">
        <f t="shared" si="10"/>
        <v>133.97730375540289</v>
      </c>
      <c r="DF43" s="12">
        <f t="shared" si="10"/>
        <v>127.16555025152195</v>
      </c>
      <c r="DG43" s="12">
        <f t="shared" si="10"/>
        <v>120.6352034387297</v>
      </c>
      <c r="DH43" s="12">
        <f t="shared" si="10"/>
        <v>114.41370538840876</v>
      </c>
      <c r="DI43" s="12">
        <f t="shared" si="10"/>
        <v>108.52480945516896</v>
      </c>
      <c r="DJ43" s="12">
        <f t="shared" si="10"/>
        <v>102.98824506412038</v>
      </c>
      <c r="DK43" s="12">
        <f t="shared" si="10"/>
        <v>97.819494265441989</v>
      </c>
      <c r="DL43" s="12">
        <f t="shared" si="10"/>
        <v>93.029632217098822</v>
      </c>
      <c r="DM43" s="12">
        <f t="shared" si="10"/>
        <v>88.625225012625904</v>
      </c>
      <c r="DN43" s="12">
        <f t="shared" si="10"/>
        <v>84.60828364831363</v>
      </c>
      <c r="DO43" s="12">
        <f t="shared" si="10"/>
        <v>80.976273050937266</v>
      </c>
      <c r="DP43" s="12">
        <f t="shared" si="11"/>
        <v>77.722174507935705</v>
      </c>
      <c r="DQ43" s="12">
        <f t="shared" si="11"/>
        <v>74.834599237527357</v>
      </c>
      <c r="DR43" s="12">
        <f t="shared" si="11"/>
        <v>72.297950312292187</v>
      </c>
      <c r="DS43" s="12">
        <f t="shared" si="11"/>
        <v>70.092629723050635</v>
      </c>
      <c r="DT43" s="12">
        <f t="shared" si="11"/>
        <v>68.195287040548592</v>
      </c>
      <c r="DU43" s="12">
        <f t="shared" si="11"/>
        <v>66.579105894969473</v>
      </c>
      <c r="DV43" s="12">
        <f t="shared" si="11"/>
        <v>65.214124338581442</v>
      </c>
      <c r="DW43" s="12">
        <f t="shared" si="11"/>
        <v>64.067585073222389</v>
      </c>
      <c r="DX43" s="12">
        <f t="shared" si="11"/>
        <v>63.10431149836235</v>
      </c>
      <c r="DY43" s="12">
        <f t="shared" si="11"/>
        <v>62.287105552704574</v>
      </c>
      <c r="DZ43" s="12">
        <f t="shared" si="11"/>
        <v>61.577163368070174</v>
      </c>
      <c r="EA43" s="11">
        <f t="shared" si="11"/>
        <v>60.93450481465274</v>
      </c>
    </row>
    <row r="44" spans="5:131" x14ac:dyDescent="0.3">
      <c r="E44" s="16"/>
      <c r="F44" s="11">
        <f t="shared" si="17"/>
        <v>300</v>
      </c>
      <c r="G44" s="12">
        <f t="shared" si="12"/>
        <v>287.20458331783192</v>
      </c>
      <c r="H44" s="12">
        <f t="shared" si="12"/>
        <v>274.47945650127753</v>
      </c>
      <c r="I44" s="12">
        <f t="shared" si="12"/>
        <v>261.89403216396988</v>
      </c>
      <c r="J44" s="12">
        <f t="shared" si="12"/>
        <v>249.51598121594662</v>
      </c>
      <c r="K44" s="12">
        <f t="shared" si="12"/>
        <v>237.41039374200534</v>
      </c>
      <c r="L44" s="12">
        <f t="shared" si="12"/>
        <v>225.63897720725134</v>
      </c>
      <c r="M44" s="12">
        <f t="shared" si="12"/>
        <v>214.25930321091451</v>
      </c>
      <c r="N44" s="12">
        <f t="shared" si="12"/>
        <v>203.32411301536513</v>
      </c>
      <c r="O44" s="12">
        <f>CA44*P44+DG44</f>
        <v>192.88069089761242</v>
      </c>
      <c r="P44" s="12">
        <f t="shared" si="12"/>
        <v>182.97031304318861</v>
      </c>
      <c r="Q44" s="12">
        <f t="shared" si="12"/>
        <v>173.62777826859929</v>
      </c>
      <c r="R44" s="12">
        <f t="shared" si="12"/>
        <v>164.88102536165582</v>
      </c>
      <c r="S44" s="12">
        <f t="shared" si="12"/>
        <v>156.75084031219728</v>
      </c>
      <c r="T44" s="12">
        <f t="shared" si="12"/>
        <v>149.25065521040028</v>
      </c>
      <c r="U44" s="12">
        <f t="shared" si="12"/>
        <v>142.3864391541251</v>
      </c>
      <c r="V44" s="12">
        <f t="shared" si="12"/>
        <v>136.15668016384507</v>
      </c>
      <c r="W44" s="12">
        <f t="shared" si="4"/>
        <v>130.55245588106155</v>
      </c>
      <c r="X44" s="12">
        <f t="shared" si="4"/>
        <v>125.55758974443728</v>
      </c>
      <c r="Y44" s="12">
        <f t="shared" si="5"/>
        <v>121.14888841078469</v>
      </c>
      <c r="Z44" s="12">
        <f t="shared" si="5"/>
        <v>117.29645542188688</v>
      </c>
      <c r="AA44" s="12">
        <f t="shared" si="5"/>
        <v>113.9640755122897</v>
      </c>
      <c r="AB44" s="12">
        <f t="shared" si="5"/>
        <v>111.10966350062375</v>
      </c>
      <c r="AC44" s="12">
        <f t="shared" si="5"/>
        <v>108.68577139501525</v>
      </c>
      <c r="AD44" s="12">
        <f t="shared" si="5"/>
        <v>106.64014715446092</v>
      </c>
      <c r="AE44" s="12">
        <f t="shared" si="5"/>
        <v>104.91633846201006</v>
      </c>
      <c r="AF44" s="12">
        <f t="shared" si="5"/>
        <v>103.45433485945046</v>
      </c>
      <c r="AG44" s="12">
        <f t="shared" si="5"/>
        <v>102.19124164338535</v>
      </c>
      <c r="AH44" s="12">
        <f t="shared" si="5"/>
        <v>101.06197900608419</v>
      </c>
      <c r="AI44" s="11">
        <f t="shared" si="18"/>
        <v>100</v>
      </c>
      <c r="AK44" s="17"/>
      <c r="AL44" s="11">
        <f t="shared" si="13"/>
        <v>-1076400000</v>
      </c>
      <c r="AM44" s="12">
        <f t="shared" si="6"/>
        <v>-1030218121.570268</v>
      </c>
      <c r="AN44" s="12">
        <f t="shared" si="6"/>
        <v>-984291836.91536975</v>
      </c>
      <c r="AO44" s="12">
        <f t="shared" si="6"/>
        <v>-938873542.71053863</v>
      </c>
      <c r="AP44" s="12">
        <f t="shared" si="6"/>
        <v>-894209288.40698302</v>
      </c>
      <c r="AQ44" s="12">
        <f t="shared" si="6"/>
        <v>-850535719.05097508</v>
      </c>
      <c r="AR44" s="12">
        <f t="shared" si="6"/>
        <v>-808077155.03549767</v>
      </c>
      <c r="AS44" s="12">
        <f t="shared" si="6"/>
        <v>-767042849.88903487</v>
      </c>
      <c r="AT44" s="12">
        <f t="shared" si="6"/>
        <v>-727624463.51336575</v>
      </c>
      <c r="AU44" s="12">
        <f t="shared" si="6"/>
        <v>-689993783.90351927</v>
      </c>
      <c r="AV44" s="12">
        <f t="shared" si="6"/>
        <v>-654300725.46031284</v>
      </c>
      <c r="AW44" s="12">
        <f t="shared" si="6"/>
        <v>-620671626.69455945</v>
      </c>
      <c r="AX44" s="12">
        <f t="shared" si="6"/>
        <v>-589207864.58415508</v>
      </c>
      <c r="AY44" s="12">
        <f t="shared" si="6"/>
        <v>-559984797.24264038</v>
      </c>
      <c r="AZ44" s="12">
        <f t="shared" si="6"/>
        <v>-533051041.04541069</v>
      </c>
      <c r="BA44" s="12">
        <f t="shared" si="6"/>
        <v>-508428083.07949215</v>
      </c>
      <c r="BB44" s="12">
        <f t="shared" si="6"/>
        <v>-486110224.85845536</v>
      </c>
      <c r="BC44" s="12">
        <f t="shared" si="7"/>
        <v>-466064848.777017</v>
      </c>
      <c r="BD44" s="12">
        <f t="shared" si="7"/>
        <v>-448232994.8462646</v>
      </c>
      <c r="BE44" s="12">
        <f t="shared" si="7"/>
        <v>-432530231.89937717</v>
      </c>
      <c r="BF44" s="12">
        <f t="shared" si="7"/>
        <v>-418847804.71114761</v>
      </c>
      <c r="BG44" s="12">
        <f t="shared" si="7"/>
        <v>-407054036.32815874</v>
      </c>
      <c r="BH44" s="12">
        <f t="shared" si="7"/>
        <v>-396995963.33166426</v>
      </c>
      <c r="BI44" s="12">
        <f t="shared" si="7"/>
        <v>-388501180.70256603</v>
      </c>
      <c r="BJ44" s="12">
        <f t="shared" si="7"/>
        <v>-381379872.36081278</v>
      </c>
      <c r="BK44" s="12">
        <f t="shared" si="7"/>
        <v>-375427003.23093897</v>
      </c>
      <c r="BL44" s="12">
        <f t="shared" si="7"/>
        <v>-370424648.75451565</v>
      </c>
      <c r="BM44" s="12">
        <f t="shared" si="7"/>
        <v>-366144438.03946036</v>
      </c>
      <c r="BN44" s="12">
        <f t="shared" si="7"/>
        <v>-362350087.21810418</v>
      </c>
      <c r="BO44" s="11">
        <f t="shared" si="7"/>
        <v>-358800000</v>
      </c>
      <c r="BQ44" s="16"/>
      <c r="BR44" s="11">
        <v>0</v>
      </c>
      <c r="BS44" s="12">
        <f t="shared" si="14"/>
        <v>0.3415922014622258</v>
      </c>
      <c r="BT44" s="12">
        <f t="shared" si="14"/>
        <v>0.3867162803971414</v>
      </c>
      <c r="BU44" s="12">
        <f t="shared" si="14"/>
        <v>0.39358441341045353</v>
      </c>
      <c r="BV44" s="12">
        <f t="shared" si="14"/>
        <v>0.39465123071155611</v>
      </c>
      <c r="BW44" s="12">
        <f t="shared" si="14"/>
        <v>0.39481745705771337</v>
      </c>
      <c r="BX44" s="12">
        <f t="shared" si="14"/>
        <v>0.39484337025824801</v>
      </c>
      <c r="BY44" s="12">
        <f t="shared" si="14"/>
        <v>0.39484741020089792</v>
      </c>
      <c r="BZ44" s="12">
        <f t="shared" si="14"/>
        <v>0.39484804004704999</v>
      </c>
      <c r="CA44" s="12">
        <f t="shared" si="14"/>
        <v>0.39484813824322279</v>
      </c>
      <c r="CB44" s="12">
        <f t="shared" si="14"/>
        <v>0.39484815355250286</v>
      </c>
      <c r="CC44" s="12">
        <f t="shared" si="14"/>
        <v>0.39484815593929717</v>
      </c>
      <c r="CD44" s="12">
        <f t="shared" si="14"/>
        <v>0.39484815631141046</v>
      </c>
      <c r="CE44" s="12">
        <f t="shared" si="14"/>
        <v>0.39484815636942483</v>
      </c>
      <c r="CF44" s="12">
        <f t="shared" si="14"/>
        <v>0.39484815637846954</v>
      </c>
      <c r="CG44" s="12">
        <f t="shared" si="14"/>
        <v>0.39484815637987963</v>
      </c>
      <c r="CH44" s="12">
        <f t="shared" si="14"/>
        <v>0.39484815638009951</v>
      </c>
      <c r="CI44" s="12">
        <f t="shared" si="9"/>
        <v>0.39484815638013382</v>
      </c>
      <c r="CJ44" s="12">
        <f t="shared" si="9"/>
        <v>0.39484815638013915</v>
      </c>
      <c r="CK44" s="12">
        <f t="shared" si="9"/>
        <v>0.39484815638013998</v>
      </c>
      <c r="CL44" s="12">
        <f t="shared" si="9"/>
        <v>0.39484815638014015</v>
      </c>
      <c r="CM44" s="12">
        <f t="shared" si="9"/>
        <v>0.39484815638014015</v>
      </c>
      <c r="CN44" s="12">
        <f t="shared" si="9"/>
        <v>0.39484815638014015</v>
      </c>
      <c r="CO44" s="12">
        <f t="shared" si="9"/>
        <v>0.39484815638014015</v>
      </c>
      <c r="CP44" s="12">
        <f t="shared" si="9"/>
        <v>0.39484815638014015</v>
      </c>
      <c r="CQ44" s="12">
        <f t="shared" si="9"/>
        <v>0.39484815638014015</v>
      </c>
      <c r="CR44" s="12">
        <f t="shared" si="9"/>
        <v>0.39484815638014015</v>
      </c>
      <c r="CS44" s="12">
        <f t="shared" si="9"/>
        <v>0.39484815638014015</v>
      </c>
      <c r="CT44" s="12">
        <f t="shared" si="9"/>
        <v>0.39484815638014015</v>
      </c>
      <c r="CU44" s="11">
        <f t="shared" si="9"/>
        <v>0.39484815638014015</v>
      </c>
      <c r="CW44" s="16"/>
      <c r="CX44" s="11">
        <f t="shared" si="15"/>
        <v>300</v>
      </c>
      <c r="CY44" s="12">
        <f t="shared" si="16"/>
        <v>193.44454151540529</v>
      </c>
      <c r="CZ44" s="12">
        <f t="shared" si="10"/>
        <v>173.20077052461778</v>
      </c>
      <c r="DA44" s="12">
        <f t="shared" si="10"/>
        <v>163.6884310605578</v>
      </c>
      <c r="DB44" s="12">
        <f t="shared" si="10"/>
        <v>155.8216771419491</v>
      </c>
      <c r="DC44" s="12">
        <f t="shared" si="10"/>
        <v>148.324186547935</v>
      </c>
      <c r="DD44" s="12">
        <f t="shared" si="10"/>
        <v>141.04011181827002</v>
      </c>
      <c r="DE44" s="12">
        <f t="shared" si="10"/>
        <v>133.97730375540291</v>
      </c>
      <c r="DF44" s="12">
        <f t="shared" si="10"/>
        <v>127.16555025152201</v>
      </c>
      <c r="DG44" s="12">
        <f t="shared" si="10"/>
        <v>120.63520343872973</v>
      </c>
      <c r="DH44" s="12">
        <f t="shared" si="10"/>
        <v>114.4137053884088</v>
      </c>
      <c r="DI44" s="12">
        <f t="shared" si="10"/>
        <v>108.52480945516901</v>
      </c>
      <c r="DJ44" s="12">
        <f t="shared" si="10"/>
        <v>102.98824506412042</v>
      </c>
      <c r="DK44" s="12">
        <f t="shared" si="10"/>
        <v>97.819494265442046</v>
      </c>
      <c r="DL44" s="12">
        <f t="shared" si="10"/>
        <v>93.029632217098865</v>
      </c>
      <c r="DM44" s="12">
        <f t="shared" si="10"/>
        <v>88.625225012625947</v>
      </c>
      <c r="DN44" s="12">
        <f t="shared" si="10"/>
        <v>84.608283648313645</v>
      </c>
      <c r="DO44" s="12">
        <f t="shared" si="10"/>
        <v>80.97627305093728</v>
      </c>
      <c r="DP44" s="12">
        <f t="shared" si="11"/>
        <v>77.722174507935733</v>
      </c>
      <c r="DQ44" s="12">
        <f t="shared" si="11"/>
        <v>74.834599237527385</v>
      </c>
      <c r="DR44" s="12">
        <f t="shared" si="11"/>
        <v>72.297950312292215</v>
      </c>
      <c r="DS44" s="12">
        <f t="shared" si="11"/>
        <v>70.092629723050663</v>
      </c>
      <c r="DT44" s="12">
        <f t="shared" si="11"/>
        <v>68.195287040548607</v>
      </c>
      <c r="DU44" s="12">
        <f t="shared" si="11"/>
        <v>66.579105894969501</v>
      </c>
      <c r="DV44" s="12">
        <f t="shared" si="11"/>
        <v>65.214124338581456</v>
      </c>
      <c r="DW44" s="12">
        <f t="shared" si="11"/>
        <v>64.067585073222389</v>
      </c>
      <c r="DX44" s="12">
        <f t="shared" si="11"/>
        <v>63.10431149836235</v>
      </c>
      <c r="DY44" s="12">
        <f t="shared" si="11"/>
        <v>62.287105552704574</v>
      </c>
      <c r="DZ44" s="12">
        <f t="shared" si="11"/>
        <v>61.577163368070174</v>
      </c>
      <c r="EA44" s="11">
        <f t="shared" si="11"/>
        <v>60.93450481465274</v>
      </c>
    </row>
    <row r="45" spans="5:131" x14ac:dyDescent="0.3">
      <c r="E45" s="16"/>
      <c r="F45" s="11">
        <f t="shared" si="17"/>
        <v>300</v>
      </c>
      <c r="G45" s="12">
        <f t="shared" si="12"/>
        <v>287.20458331783192</v>
      </c>
      <c r="H45" s="12">
        <f t="shared" si="12"/>
        <v>274.47945650127753</v>
      </c>
      <c r="I45" s="12">
        <f t="shared" si="12"/>
        <v>261.89403216396988</v>
      </c>
      <c r="J45" s="12">
        <f t="shared" si="12"/>
        <v>249.51598121594662</v>
      </c>
      <c r="K45" s="12">
        <f t="shared" si="12"/>
        <v>237.41039374200534</v>
      </c>
      <c r="L45" s="12">
        <f t="shared" si="12"/>
        <v>225.63897720725137</v>
      </c>
      <c r="M45" s="12">
        <f t="shared" si="12"/>
        <v>214.25930321091454</v>
      </c>
      <c r="N45" s="12">
        <f t="shared" si="12"/>
        <v>203.32411301536513</v>
      </c>
      <c r="O45" s="12">
        <f t="shared" si="12"/>
        <v>192.88069089761242</v>
      </c>
      <c r="P45" s="12">
        <f t="shared" si="12"/>
        <v>182.97031304318861</v>
      </c>
      <c r="Q45" s="12">
        <f t="shared" si="12"/>
        <v>173.62777826859929</v>
      </c>
      <c r="R45" s="12">
        <f t="shared" si="12"/>
        <v>164.88102536165582</v>
      </c>
      <c r="S45" s="12">
        <f t="shared" si="12"/>
        <v>156.75084031219728</v>
      </c>
      <c r="T45" s="12">
        <f t="shared" si="12"/>
        <v>149.25065521040031</v>
      </c>
      <c r="U45" s="12">
        <f t="shared" si="12"/>
        <v>142.38643915412513</v>
      </c>
      <c r="V45" s="12">
        <f t="shared" si="12"/>
        <v>136.1566801638451</v>
      </c>
      <c r="W45" s="12">
        <f t="shared" si="4"/>
        <v>130.55245588106155</v>
      </c>
      <c r="X45" s="12">
        <f t="shared" si="4"/>
        <v>125.55758974443728</v>
      </c>
      <c r="Y45" s="12">
        <f t="shared" si="5"/>
        <v>121.14888841078471</v>
      </c>
      <c r="Z45" s="12">
        <f t="shared" si="5"/>
        <v>117.29645542188689</v>
      </c>
      <c r="AA45" s="12">
        <f t="shared" si="5"/>
        <v>113.96407551228972</v>
      </c>
      <c r="AB45" s="12">
        <f t="shared" si="5"/>
        <v>111.10966350062377</v>
      </c>
      <c r="AC45" s="12">
        <f t="shared" si="5"/>
        <v>108.68577139501525</v>
      </c>
      <c r="AD45" s="12">
        <f t="shared" si="5"/>
        <v>106.64014715446095</v>
      </c>
      <c r="AE45" s="12">
        <f t="shared" si="5"/>
        <v>104.91633846201009</v>
      </c>
      <c r="AF45" s="12">
        <f t="shared" si="5"/>
        <v>103.45433485945046</v>
      </c>
      <c r="AG45" s="12">
        <f t="shared" si="5"/>
        <v>102.19124164338535</v>
      </c>
      <c r="AH45" s="12">
        <f t="shared" si="5"/>
        <v>101.06197900608419</v>
      </c>
      <c r="AI45" s="11">
        <f t="shared" si="18"/>
        <v>100</v>
      </c>
      <c r="AK45" s="17"/>
      <c r="AL45" s="11">
        <f t="shared" si="13"/>
        <v>-1076400000</v>
      </c>
      <c r="AM45" s="12">
        <f t="shared" si="6"/>
        <v>-1030218121.5702678</v>
      </c>
      <c r="AN45" s="12">
        <f t="shared" si="6"/>
        <v>-984291836.91536975</v>
      </c>
      <c r="AO45" s="12">
        <f t="shared" si="6"/>
        <v>-938873542.71053863</v>
      </c>
      <c r="AP45" s="12">
        <f t="shared" si="6"/>
        <v>-894209288.40698302</v>
      </c>
      <c r="AQ45" s="12">
        <f t="shared" si="6"/>
        <v>-850535719.05097497</v>
      </c>
      <c r="AR45" s="12">
        <f t="shared" si="6"/>
        <v>-808077155.03549767</v>
      </c>
      <c r="AS45" s="12">
        <f t="shared" si="6"/>
        <v>-767042849.88903499</v>
      </c>
      <c r="AT45" s="12">
        <f t="shared" si="6"/>
        <v>-727624463.51336575</v>
      </c>
      <c r="AU45" s="12">
        <f t="shared" si="6"/>
        <v>-689993783.90351927</v>
      </c>
      <c r="AV45" s="12">
        <f t="shared" si="6"/>
        <v>-654300725.46031296</v>
      </c>
      <c r="AW45" s="12">
        <f t="shared" si="6"/>
        <v>-620671626.69455945</v>
      </c>
      <c r="AX45" s="12">
        <f t="shared" si="6"/>
        <v>-589207864.58415508</v>
      </c>
      <c r="AY45" s="12">
        <f t="shared" si="6"/>
        <v>-559984797.24264038</v>
      </c>
      <c r="AZ45" s="12">
        <f t="shared" si="6"/>
        <v>-533051041.04541069</v>
      </c>
      <c r="BA45" s="12">
        <f t="shared" si="6"/>
        <v>-508428083.07949227</v>
      </c>
      <c r="BB45" s="12">
        <f t="shared" si="6"/>
        <v>-486110224.85845542</v>
      </c>
      <c r="BC45" s="12">
        <f t="shared" si="7"/>
        <v>-466064848.777017</v>
      </c>
      <c r="BD45" s="12">
        <f t="shared" si="7"/>
        <v>-448232994.8462646</v>
      </c>
      <c r="BE45" s="12">
        <f t="shared" si="7"/>
        <v>-432530231.89937717</v>
      </c>
      <c r="BF45" s="12">
        <f t="shared" si="7"/>
        <v>-418847804.71114761</v>
      </c>
      <c r="BG45" s="12">
        <f t="shared" si="7"/>
        <v>-407054036.3281588</v>
      </c>
      <c r="BH45" s="12">
        <f t="shared" si="7"/>
        <v>-396995963.33166426</v>
      </c>
      <c r="BI45" s="12">
        <f t="shared" si="7"/>
        <v>-388501180.70256603</v>
      </c>
      <c r="BJ45" s="12">
        <f t="shared" si="7"/>
        <v>-381379872.36081284</v>
      </c>
      <c r="BK45" s="12">
        <f t="shared" si="7"/>
        <v>-375427003.23093897</v>
      </c>
      <c r="BL45" s="12">
        <f t="shared" si="7"/>
        <v>-370424648.75451565</v>
      </c>
      <c r="BM45" s="12">
        <f t="shared" si="7"/>
        <v>-366144438.03946036</v>
      </c>
      <c r="BN45" s="12">
        <f t="shared" si="7"/>
        <v>-362350087.21810418</v>
      </c>
      <c r="BO45" s="11">
        <f t="shared" si="7"/>
        <v>-358800000</v>
      </c>
      <c r="BQ45" s="16"/>
      <c r="BR45" s="11">
        <v>0</v>
      </c>
      <c r="BS45" s="12">
        <f t="shared" si="14"/>
        <v>0.3415922014622258</v>
      </c>
      <c r="BT45" s="12">
        <f t="shared" si="14"/>
        <v>0.3867162803971414</v>
      </c>
      <c r="BU45" s="12">
        <f t="shared" si="14"/>
        <v>0.39358441341045353</v>
      </c>
      <c r="BV45" s="12">
        <f t="shared" si="14"/>
        <v>0.39465123071155611</v>
      </c>
      <c r="BW45" s="12">
        <f t="shared" si="14"/>
        <v>0.39481745705771337</v>
      </c>
      <c r="BX45" s="12">
        <f t="shared" si="14"/>
        <v>0.39484337025824801</v>
      </c>
      <c r="BY45" s="12">
        <f t="shared" si="14"/>
        <v>0.39484741020089792</v>
      </c>
      <c r="BZ45" s="12">
        <f t="shared" si="14"/>
        <v>0.39484804004704999</v>
      </c>
      <c r="CA45" s="12">
        <f t="shared" si="14"/>
        <v>0.39484813824322279</v>
      </c>
      <c r="CB45" s="12">
        <f t="shared" si="14"/>
        <v>0.39484815355250286</v>
      </c>
      <c r="CC45" s="12">
        <f t="shared" si="14"/>
        <v>0.39484815593929717</v>
      </c>
      <c r="CD45" s="12">
        <f t="shared" si="14"/>
        <v>0.39484815631141046</v>
      </c>
      <c r="CE45" s="12">
        <f t="shared" si="14"/>
        <v>0.39484815636942483</v>
      </c>
      <c r="CF45" s="12">
        <f t="shared" si="14"/>
        <v>0.39484815637846954</v>
      </c>
      <c r="CG45" s="12">
        <f t="shared" si="14"/>
        <v>0.39484815637987963</v>
      </c>
      <c r="CH45" s="12">
        <f t="shared" si="14"/>
        <v>0.39484815638009951</v>
      </c>
      <c r="CI45" s="12">
        <f t="shared" si="9"/>
        <v>0.39484815638013382</v>
      </c>
      <c r="CJ45" s="12">
        <f t="shared" si="9"/>
        <v>0.39484815638013915</v>
      </c>
      <c r="CK45" s="12">
        <f t="shared" si="9"/>
        <v>0.39484815638013998</v>
      </c>
      <c r="CL45" s="12">
        <f t="shared" si="9"/>
        <v>0.39484815638014015</v>
      </c>
      <c r="CM45" s="12">
        <f t="shared" si="9"/>
        <v>0.39484815638014015</v>
      </c>
      <c r="CN45" s="12">
        <f t="shared" si="9"/>
        <v>0.39484815638014015</v>
      </c>
      <c r="CO45" s="12">
        <f t="shared" si="9"/>
        <v>0.39484815638014015</v>
      </c>
      <c r="CP45" s="12">
        <f t="shared" si="9"/>
        <v>0.39484815638014015</v>
      </c>
      <c r="CQ45" s="12">
        <f t="shared" si="9"/>
        <v>0.39484815638014015</v>
      </c>
      <c r="CR45" s="12">
        <f t="shared" si="9"/>
        <v>0.39484815638014015</v>
      </c>
      <c r="CS45" s="12">
        <f t="shared" si="9"/>
        <v>0.39484815638014015</v>
      </c>
      <c r="CT45" s="12">
        <f t="shared" si="9"/>
        <v>0.39484815638014015</v>
      </c>
      <c r="CU45" s="11">
        <f t="shared" si="9"/>
        <v>0.39484815638014015</v>
      </c>
      <c r="CW45" s="16"/>
      <c r="CX45" s="11">
        <f t="shared" si="15"/>
        <v>300</v>
      </c>
      <c r="CY45" s="12">
        <f t="shared" si="16"/>
        <v>193.44454151540529</v>
      </c>
      <c r="CZ45" s="12">
        <f t="shared" si="10"/>
        <v>173.20077052461778</v>
      </c>
      <c r="DA45" s="12">
        <f t="shared" si="10"/>
        <v>163.6884310605578</v>
      </c>
      <c r="DB45" s="12">
        <f t="shared" si="10"/>
        <v>155.8216771419491</v>
      </c>
      <c r="DC45" s="12">
        <f t="shared" si="10"/>
        <v>148.324186547935</v>
      </c>
      <c r="DD45" s="12">
        <f t="shared" si="10"/>
        <v>141.04011181827002</v>
      </c>
      <c r="DE45" s="12">
        <f t="shared" si="10"/>
        <v>133.97730375540294</v>
      </c>
      <c r="DF45" s="12">
        <f t="shared" si="10"/>
        <v>127.16555025152201</v>
      </c>
      <c r="DG45" s="12">
        <f t="shared" si="10"/>
        <v>120.63520343872973</v>
      </c>
      <c r="DH45" s="12">
        <f t="shared" si="10"/>
        <v>114.4137053884088</v>
      </c>
      <c r="DI45" s="12">
        <f t="shared" si="10"/>
        <v>108.52480945516901</v>
      </c>
      <c r="DJ45" s="12">
        <f t="shared" si="10"/>
        <v>102.98824506412042</v>
      </c>
      <c r="DK45" s="12">
        <f t="shared" si="10"/>
        <v>97.819494265442046</v>
      </c>
      <c r="DL45" s="12">
        <f t="shared" si="10"/>
        <v>93.029632217098865</v>
      </c>
      <c r="DM45" s="12">
        <f t="shared" si="10"/>
        <v>88.625225012625975</v>
      </c>
      <c r="DN45" s="12">
        <f t="shared" si="10"/>
        <v>84.608283648313673</v>
      </c>
      <c r="DO45" s="12">
        <f t="shared" si="10"/>
        <v>80.976273050937294</v>
      </c>
      <c r="DP45" s="12">
        <f t="shared" si="11"/>
        <v>77.722174507935733</v>
      </c>
      <c r="DQ45" s="12">
        <f t="shared" si="11"/>
        <v>74.834599237527385</v>
      </c>
      <c r="DR45" s="12">
        <f t="shared" si="11"/>
        <v>72.297950312292215</v>
      </c>
      <c r="DS45" s="12">
        <f t="shared" si="11"/>
        <v>70.092629723050678</v>
      </c>
      <c r="DT45" s="12">
        <f t="shared" si="11"/>
        <v>68.195287040548621</v>
      </c>
      <c r="DU45" s="12">
        <f t="shared" si="11"/>
        <v>66.579105894969501</v>
      </c>
      <c r="DV45" s="12">
        <f t="shared" si="11"/>
        <v>65.21412433858147</v>
      </c>
      <c r="DW45" s="12">
        <f t="shared" si="11"/>
        <v>64.067585073222403</v>
      </c>
      <c r="DX45" s="12">
        <f t="shared" si="11"/>
        <v>63.10431149836235</v>
      </c>
      <c r="DY45" s="12">
        <f t="shared" si="11"/>
        <v>62.287105552704574</v>
      </c>
      <c r="DZ45" s="12">
        <f t="shared" si="11"/>
        <v>61.577163368070174</v>
      </c>
      <c r="EA45" s="11">
        <f t="shared" si="11"/>
        <v>60.93450481465274</v>
      </c>
    </row>
    <row r="46" spans="5:131" x14ac:dyDescent="0.3">
      <c r="E46" s="16"/>
      <c r="F46" s="11">
        <f t="shared" si="17"/>
        <v>300</v>
      </c>
      <c r="G46" s="12">
        <f t="shared" si="12"/>
        <v>287.20458331783192</v>
      </c>
      <c r="H46" s="12">
        <f t="shared" si="12"/>
        <v>274.47945650127747</v>
      </c>
      <c r="I46" s="12">
        <f t="shared" si="12"/>
        <v>261.89403216396983</v>
      </c>
      <c r="J46" s="12">
        <f t="shared" si="12"/>
        <v>249.51598121594654</v>
      </c>
      <c r="K46" s="12">
        <f t="shared" si="12"/>
        <v>237.41039374200528</v>
      </c>
      <c r="L46" s="12">
        <f t="shared" si="12"/>
        <v>225.63897720725134</v>
      </c>
      <c r="M46" s="12">
        <f t="shared" si="12"/>
        <v>214.25930321091451</v>
      </c>
      <c r="N46" s="12">
        <f t="shared" si="12"/>
        <v>203.32411301536513</v>
      </c>
      <c r="O46" s="12">
        <f t="shared" si="12"/>
        <v>192.88069089761242</v>
      </c>
      <c r="P46" s="12">
        <f t="shared" si="12"/>
        <v>182.97031304318861</v>
      </c>
      <c r="Q46" s="12">
        <f t="shared" si="12"/>
        <v>173.62777826859929</v>
      </c>
      <c r="R46" s="12">
        <f t="shared" si="12"/>
        <v>164.88102536165582</v>
      </c>
      <c r="S46" s="12">
        <f t="shared" si="12"/>
        <v>156.75084031219728</v>
      </c>
      <c r="T46" s="12">
        <f t="shared" si="12"/>
        <v>149.25065521040031</v>
      </c>
      <c r="U46" s="12">
        <f t="shared" si="12"/>
        <v>142.38643915412516</v>
      </c>
      <c r="V46" s="12">
        <f t="shared" si="12"/>
        <v>136.15668016384512</v>
      </c>
      <c r="W46" s="12">
        <f t="shared" si="4"/>
        <v>130.55245588106158</v>
      </c>
      <c r="X46" s="12">
        <f t="shared" si="4"/>
        <v>125.55758974443728</v>
      </c>
      <c r="Y46" s="12">
        <f t="shared" si="5"/>
        <v>121.14888841078471</v>
      </c>
      <c r="Z46" s="12">
        <f t="shared" si="5"/>
        <v>117.29645542188689</v>
      </c>
      <c r="AA46" s="12">
        <f t="shared" si="5"/>
        <v>113.96407551228972</v>
      </c>
      <c r="AB46" s="12">
        <f t="shared" si="5"/>
        <v>111.10966350062377</v>
      </c>
      <c r="AC46" s="12">
        <f t="shared" si="5"/>
        <v>108.68577139501525</v>
      </c>
      <c r="AD46" s="12">
        <f t="shared" si="5"/>
        <v>106.64014715446095</v>
      </c>
      <c r="AE46" s="12">
        <f t="shared" si="5"/>
        <v>104.91633846201009</v>
      </c>
      <c r="AF46" s="12">
        <f t="shared" si="5"/>
        <v>103.45433485945046</v>
      </c>
      <c r="AG46" s="12">
        <f t="shared" si="5"/>
        <v>102.19124164338535</v>
      </c>
      <c r="AH46" s="12">
        <f t="shared" si="5"/>
        <v>101.06197900608419</v>
      </c>
      <c r="AI46" s="11">
        <f t="shared" si="18"/>
        <v>100</v>
      </c>
      <c r="AK46" s="17"/>
      <c r="AL46" s="11">
        <f t="shared" si="13"/>
        <v>-1076400000</v>
      </c>
      <c r="AM46" s="12">
        <f t="shared" si="6"/>
        <v>-1030218121.5702678</v>
      </c>
      <c r="AN46" s="12">
        <f t="shared" si="6"/>
        <v>-984291836.91536975</v>
      </c>
      <c r="AO46" s="12">
        <f t="shared" si="6"/>
        <v>-938873542.71053815</v>
      </c>
      <c r="AP46" s="12">
        <f t="shared" si="6"/>
        <v>-894209288.40698278</v>
      </c>
      <c r="AQ46" s="12">
        <f t="shared" si="6"/>
        <v>-850535719.05097485</v>
      </c>
      <c r="AR46" s="12">
        <f t="shared" si="6"/>
        <v>-808077155.03549767</v>
      </c>
      <c r="AS46" s="12">
        <f t="shared" si="6"/>
        <v>-767042849.88903499</v>
      </c>
      <c r="AT46" s="12">
        <f t="shared" si="6"/>
        <v>-727624463.51336575</v>
      </c>
      <c r="AU46" s="12">
        <f t="shared" si="6"/>
        <v>-689993783.90351915</v>
      </c>
      <c r="AV46" s="12">
        <f t="shared" si="6"/>
        <v>-654300725.46031284</v>
      </c>
      <c r="AW46" s="12">
        <f t="shared" si="6"/>
        <v>-620671626.69455945</v>
      </c>
      <c r="AX46" s="12">
        <f t="shared" si="6"/>
        <v>-589207864.58415496</v>
      </c>
      <c r="AY46" s="12">
        <f t="shared" si="6"/>
        <v>-559984797.24264038</v>
      </c>
      <c r="AZ46" s="12">
        <f t="shared" si="6"/>
        <v>-533051041.04541069</v>
      </c>
      <c r="BA46" s="12">
        <f t="shared" si="6"/>
        <v>-508428083.07949227</v>
      </c>
      <c r="BB46" s="12">
        <f t="shared" si="6"/>
        <v>-486110224.85845542</v>
      </c>
      <c r="BC46" s="12">
        <f t="shared" si="7"/>
        <v>-466064848.77701706</v>
      </c>
      <c r="BD46" s="12">
        <f t="shared" si="7"/>
        <v>-448232994.84626466</v>
      </c>
      <c r="BE46" s="12">
        <f t="shared" si="7"/>
        <v>-432530231.89937723</v>
      </c>
      <c r="BF46" s="12">
        <f t="shared" si="7"/>
        <v>-418847804.71114761</v>
      </c>
      <c r="BG46" s="12">
        <f t="shared" si="7"/>
        <v>-407054036.3281588</v>
      </c>
      <c r="BH46" s="12">
        <f t="shared" si="7"/>
        <v>-396995963.33166426</v>
      </c>
      <c r="BI46" s="12">
        <f t="shared" si="7"/>
        <v>-388501180.70256603</v>
      </c>
      <c r="BJ46" s="12">
        <f t="shared" si="7"/>
        <v>-381379872.36081284</v>
      </c>
      <c r="BK46" s="12">
        <f t="shared" si="7"/>
        <v>-375427003.23093897</v>
      </c>
      <c r="BL46" s="12">
        <f t="shared" si="7"/>
        <v>-370424648.75451565</v>
      </c>
      <c r="BM46" s="12">
        <f t="shared" si="7"/>
        <v>-366144438.03946036</v>
      </c>
      <c r="BN46" s="12">
        <f t="shared" si="7"/>
        <v>-362350087.21810412</v>
      </c>
      <c r="BO46" s="11">
        <f t="shared" si="7"/>
        <v>-358800000</v>
      </c>
      <c r="BQ46" s="16"/>
      <c r="BR46" s="11">
        <v>0</v>
      </c>
      <c r="BS46" s="12">
        <f t="shared" si="14"/>
        <v>0.3415922014622258</v>
      </c>
      <c r="BT46" s="12">
        <f t="shared" si="14"/>
        <v>0.3867162803971414</v>
      </c>
      <c r="BU46" s="12">
        <f t="shared" si="14"/>
        <v>0.39358441341045353</v>
      </c>
      <c r="BV46" s="12">
        <f t="shared" si="14"/>
        <v>0.39465123071155611</v>
      </c>
      <c r="BW46" s="12">
        <f t="shared" si="14"/>
        <v>0.39481745705771337</v>
      </c>
      <c r="BX46" s="12">
        <f t="shared" si="14"/>
        <v>0.39484337025824801</v>
      </c>
      <c r="BY46" s="12">
        <f t="shared" si="14"/>
        <v>0.39484741020089792</v>
      </c>
      <c r="BZ46" s="12">
        <f t="shared" si="14"/>
        <v>0.39484804004704999</v>
      </c>
      <c r="CA46" s="12">
        <f t="shared" si="14"/>
        <v>0.39484813824322279</v>
      </c>
      <c r="CB46" s="12">
        <f t="shared" si="14"/>
        <v>0.39484815355250286</v>
      </c>
      <c r="CC46" s="12">
        <f t="shared" si="14"/>
        <v>0.39484815593929717</v>
      </c>
      <c r="CD46" s="12">
        <f t="shared" si="14"/>
        <v>0.39484815631141046</v>
      </c>
      <c r="CE46" s="12">
        <f t="shared" si="14"/>
        <v>0.39484815636942483</v>
      </c>
      <c r="CF46" s="12">
        <f t="shared" si="14"/>
        <v>0.39484815637846954</v>
      </c>
      <c r="CG46" s="12">
        <f t="shared" si="14"/>
        <v>0.39484815637987963</v>
      </c>
      <c r="CH46" s="12">
        <f t="shared" si="14"/>
        <v>0.39484815638009951</v>
      </c>
      <c r="CI46" s="12">
        <f t="shared" si="9"/>
        <v>0.39484815638013382</v>
      </c>
      <c r="CJ46" s="12">
        <f t="shared" si="9"/>
        <v>0.39484815638013915</v>
      </c>
      <c r="CK46" s="12">
        <f t="shared" si="9"/>
        <v>0.39484815638013998</v>
      </c>
      <c r="CL46" s="12">
        <f t="shared" si="9"/>
        <v>0.39484815638014015</v>
      </c>
      <c r="CM46" s="12">
        <f t="shared" si="9"/>
        <v>0.39484815638014015</v>
      </c>
      <c r="CN46" s="12">
        <f t="shared" si="9"/>
        <v>0.39484815638014015</v>
      </c>
      <c r="CO46" s="12">
        <f t="shared" si="9"/>
        <v>0.39484815638014015</v>
      </c>
      <c r="CP46" s="12">
        <f t="shared" si="9"/>
        <v>0.39484815638014015</v>
      </c>
      <c r="CQ46" s="12">
        <f t="shared" si="9"/>
        <v>0.39484815638014015</v>
      </c>
      <c r="CR46" s="12">
        <f t="shared" si="9"/>
        <v>0.39484815638014015</v>
      </c>
      <c r="CS46" s="12">
        <f t="shared" si="9"/>
        <v>0.39484815638014015</v>
      </c>
      <c r="CT46" s="12">
        <f t="shared" si="9"/>
        <v>0.39484815638014015</v>
      </c>
      <c r="CU46" s="11">
        <f t="shared" si="9"/>
        <v>0.39484815638014015</v>
      </c>
      <c r="CW46" s="16"/>
      <c r="CX46" s="11">
        <f t="shared" si="15"/>
        <v>300</v>
      </c>
      <c r="CY46" s="12">
        <f t="shared" si="16"/>
        <v>193.44454151540529</v>
      </c>
      <c r="CZ46" s="12">
        <f t="shared" si="10"/>
        <v>173.20077052461778</v>
      </c>
      <c r="DA46" s="12">
        <f t="shared" si="10"/>
        <v>163.68843106055775</v>
      </c>
      <c r="DB46" s="12">
        <f t="shared" si="10"/>
        <v>155.82167714194904</v>
      </c>
      <c r="DC46" s="12">
        <f t="shared" si="10"/>
        <v>148.32418654793494</v>
      </c>
      <c r="DD46" s="12">
        <f t="shared" si="10"/>
        <v>141.04011181826999</v>
      </c>
      <c r="DE46" s="12">
        <f t="shared" si="10"/>
        <v>133.97730375540291</v>
      </c>
      <c r="DF46" s="12">
        <f t="shared" si="10"/>
        <v>127.16555025152201</v>
      </c>
      <c r="DG46" s="12">
        <f t="shared" si="10"/>
        <v>120.63520343872973</v>
      </c>
      <c r="DH46" s="12">
        <f t="shared" si="10"/>
        <v>114.4137053884088</v>
      </c>
      <c r="DI46" s="12">
        <f t="shared" si="10"/>
        <v>108.52480945516901</v>
      </c>
      <c r="DJ46" s="12">
        <f t="shared" si="10"/>
        <v>102.98824506412041</v>
      </c>
      <c r="DK46" s="12">
        <f t="shared" si="10"/>
        <v>97.819494265442046</v>
      </c>
      <c r="DL46" s="12">
        <f t="shared" si="10"/>
        <v>93.029632217098865</v>
      </c>
      <c r="DM46" s="12">
        <f t="shared" si="10"/>
        <v>88.625225012625975</v>
      </c>
      <c r="DN46" s="12">
        <f t="shared" si="10"/>
        <v>84.608283648313673</v>
      </c>
      <c r="DO46" s="12">
        <f t="shared" si="10"/>
        <v>80.976273050937309</v>
      </c>
      <c r="DP46" s="12">
        <f t="shared" si="11"/>
        <v>77.722174507935733</v>
      </c>
      <c r="DQ46" s="12">
        <f t="shared" si="11"/>
        <v>74.834599237527385</v>
      </c>
      <c r="DR46" s="12">
        <f t="shared" si="11"/>
        <v>72.297950312292215</v>
      </c>
      <c r="DS46" s="12">
        <f t="shared" si="11"/>
        <v>70.092629723050678</v>
      </c>
      <c r="DT46" s="12">
        <f t="shared" si="11"/>
        <v>68.195287040548621</v>
      </c>
      <c r="DU46" s="12">
        <f t="shared" si="11"/>
        <v>66.579105894969501</v>
      </c>
      <c r="DV46" s="12">
        <f t="shared" si="11"/>
        <v>65.21412433858147</v>
      </c>
      <c r="DW46" s="12">
        <f t="shared" si="11"/>
        <v>64.067585073222403</v>
      </c>
      <c r="DX46" s="12">
        <f t="shared" si="11"/>
        <v>63.10431149836235</v>
      </c>
      <c r="DY46" s="12">
        <f t="shared" si="11"/>
        <v>62.287105552704574</v>
      </c>
      <c r="DZ46" s="12">
        <f t="shared" si="11"/>
        <v>61.577163368070174</v>
      </c>
      <c r="EA46" s="11">
        <f t="shared" si="11"/>
        <v>60.93450481465274</v>
      </c>
    </row>
    <row r="47" spans="5:131" x14ac:dyDescent="0.3">
      <c r="E47" s="16"/>
      <c r="F47" s="11">
        <f t="shared" si="17"/>
        <v>300</v>
      </c>
      <c r="G47" s="12">
        <f t="shared" si="12"/>
        <v>287.20458331783192</v>
      </c>
      <c r="H47" s="12">
        <f t="shared" si="12"/>
        <v>274.47945650127753</v>
      </c>
      <c r="I47" s="12">
        <f t="shared" si="12"/>
        <v>261.89403216396988</v>
      </c>
      <c r="J47" s="12">
        <f t="shared" si="12"/>
        <v>249.5159812159466</v>
      </c>
      <c r="K47" s="12">
        <f t="shared" si="12"/>
        <v>237.41039374200534</v>
      </c>
      <c r="L47" s="12">
        <f t="shared" si="12"/>
        <v>225.6389772072514</v>
      </c>
      <c r="M47" s="12">
        <f t="shared" si="12"/>
        <v>214.25930321091454</v>
      </c>
      <c r="N47" s="12">
        <f t="shared" si="12"/>
        <v>203.32411301536513</v>
      </c>
      <c r="O47" s="12">
        <f t="shared" si="12"/>
        <v>192.88069089761242</v>
      </c>
      <c r="P47" s="12">
        <f t="shared" si="12"/>
        <v>182.97031304318861</v>
      </c>
      <c r="Q47" s="12">
        <f t="shared" si="12"/>
        <v>173.62777826859929</v>
      </c>
      <c r="R47" s="12">
        <f t="shared" si="12"/>
        <v>164.88102536165584</v>
      </c>
      <c r="S47" s="12">
        <f t="shared" si="12"/>
        <v>156.75084031219731</v>
      </c>
      <c r="T47" s="12">
        <f t="shared" si="12"/>
        <v>149.25065521040034</v>
      </c>
      <c r="U47" s="12">
        <f t="shared" si="12"/>
        <v>142.38643915412516</v>
      </c>
      <c r="V47" s="12">
        <f t="shared" si="12"/>
        <v>136.15668016384512</v>
      </c>
      <c r="W47" s="12">
        <f t="shared" si="4"/>
        <v>130.55245588106158</v>
      </c>
      <c r="X47" s="12">
        <f t="shared" si="4"/>
        <v>125.55758974443731</v>
      </c>
      <c r="Y47" s="12">
        <f t="shared" si="5"/>
        <v>121.14888841078474</v>
      </c>
      <c r="Z47" s="12">
        <f t="shared" si="5"/>
        <v>117.2964554218869</v>
      </c>
      <c r="AA47" s="12">
        <f t="shared" si="5"/>
        <v>113.96407551228972</v>
      </c>
      <c r="AB47" s="12">
        <f t="shared" si="5"/>
        <v>111.10966350062378</v>
      </c>
      <c r="AC47" s="12">
        <f t="shared" si="5"/>
        <v>108.68577139501528</v>
      </c>
      <c r="AD47" s="12">
        <f t="shared" si="5"/>
        <v>106.64014715446098</v>
      </c>
      <c r="AE47" s="12">
        <f t="shared" si="5"/>
        <v>104.91633846201012</v>
      </c>
      <c r="AF47" s="12">
        <f t="shared" si="5"/>
        <v>103.45433485945048</v>
      </c>
      <c r="AG47" s="12">
        <f t="shared" si="5"/>
        <v>102.19124164338535</v>
      </c>
      <c r="AH47" s="12">
        <f t="shared" si="5"/>
        <v>101.0619790060842</v>
      </c>
      <c r="AI47" s="11">
        <f t="shared" si="18"/>
        <v>100</v>
      </c>
      <c r="AK47" s="17"/>
      <c r="AL47" s="11">
        <f t="shared" si="13"/>
        <v>-1076400000</v>
      </c>
      <c r="AM47" s="12">
        <f t="shared" si="6"/>
        <v>-1030218121.5702678</v>
      </c>
      <c r="AN47" s="12">
        <f t="shared" si="6"/>
        <v>-984291836.91536975</v>
      </c>
      <c r="AO47" s="12">
        <f t="shared" si="6"/>
        <v>-938873542.71053839</v>
      </c>
      <c r="AP47" s="12">
        <f t="shared" si="6"/>
        <v>-894209288.4069829</v>
      </c>
      <c r="AQ47" s="12">
        <f t="shared" si="6"/>
        <v>-850535719.05097508</v>
      </c>
      <c r="AR47" s="12">
        <f t="shared" si="6"/>
        <v>-808077155.03549778</v>
      </c>
      <c r="AS47" s="12">
        <f t="shared" si="6"/>
        <v>-767042849.88903511</v>
      </c>
      <c r="AT47" s="12">
        <f t="shared" si="6"/>
        <v>-727624463.51336575</v>
      </c>
      <c r="AU47" s="12">
        <f t="shared" si="6"/>
        <v>-689993783.90351927</v>
      </c>
      <c r="AV47" s="12">
        <f t="shared" si="6"/>
        <v>-654300725.46031296</v>
      </c>
      <c r="AW47" s="12">
        <f t="shared" si="6"/>
        <v>-620671626.69455945</v>
      </c>
      <c r="AX47" s="12">
        <f t="shared" si="6"/>
        <v>-589207864.58415508</v>
      </c>
      <c r="AY47" s="12">
        <f t="shared" si="6"/>
        <v>-559984797.24264038</v>
      </c>
      <c r="AZ47" s="12">
        <f t="shared" si="6"/>
        <v>-533051041.04541081</v>
      </c>
      <c r="BA47" s="12">
        <f t="shared" si="6"/>
        <v>-508428083.07949233</v>
      </c>
      <c r="BB47" s="12">
        <f t="shared" si="6"/>
        <v>-486110224.85845542</v>
      </c>
      <c r="BC47" s="12">
        <f t="shared" si="7"/>
        <v>-466064848.77701718</v>
      </c>
      <c r="BD47" s="12">
        <f t="shared" si="7"/>
        <v>-448232994.84626472</v>
      </c>
      <c r="BE47" s="12">
        <f t="shared" si="7"/>
        <v>-432530231.89937735</v>
      </c>
      <c r="BF47" s="12">
        <f t="shared" si="7"/>
        <v>-418847804.71114773</v>
      </c>
      <c r="BG47" s="12">
        <f t="shared" si="7"/>
        <v>-407054036.32815886</v>
      </c>
      <c r="BH47" s="12">
        <f t="shared" si="7"/>
        <v>-396995963.33166438</v>
      </c>
      <c r="BI47" s="12">
        <f t="shared" si="7"/>
        <v>-388501180.70256615</v>
      </c>
      <c r="BJ47" s="12">
        <f t="shared" si="7"/>
        <v>-381379872.3608129</v>
      </c>
      <c r="BK47" s="12">
        <f t="shared" si="7"/>
        <v>-375427003.23093909</v>
      </c>
      <c r="BL47" s="12">
        <f t="shared" si="7"/>
        <v>-370424648.75451565</v>
      </c>
      <c r="BM47" s="12">
        <f t="shared" si="7"/>
        <v>-366144438.03946042</v>
      </c>
      <c r="BN47" s="12">
        <f t="shared" si="7"/>
        <v>-362350087.21810418</v>
      </c>
      <c r="BO47" s="11">
        <f t="shared" si="7"/>
        <v>-358800000</v>
      </c>
      <c r="BQ47" s="16"/>
      <c r="BR47" s="11">
        <v>0</v>
      </c>
      <c r="BS47" s="12">
        <f t="shared" si="14"/>
        <v>0.3415922014622258</v>
      </c>
      <c r="BT47" s="12">
        <f t="shared" si="14"/>
        <v>0.3867162803971414</v>
      </c>
      <c r="BU47" s="12">
        <f t="shared" si="14"/>
        <v>0.39358441341045353</v>
      </c>
      <c r="BV47" s="12">
        <f t="shared" si="14"/>
        <v>0.39465123071155611</v>
      </c>
      <c r="BW47" s="12">
        <f t="shared" si="14"/>
        <v>0.39481745705771337</v>
      </c>
      <c r="BX47" s="12">
        <f t="shared" si="14"/>
        <v>0.39484337025824801</v>
      </c>
      <c r="BY47" s="12">
        <f t="shared" si="14"/>
        <v>0.39484741020089792</v>
      </c>
      <c r="BZ47" s="12">
        <f t="shared" si="14"/>
        <v>0.39484804004704999</v>
      </c>
      <c r="CA47" s="12">
        <f t="shared" si="14"/>
        <v>0.39484813824322279</v>
      </c>
      <c r="CB47" s="12">
        <f t="shared" si="14"/>
        <v>0.39484815355250286</v>
      </c>
      <c r="CC47" s="12">
        <f t="shared" si="14"/>
        <v>0.39484815593929717</v>
      </c>
      <c r="CD47" s="12">
        <f t="shared" si="14"/>
        <v>0.39484815631141046</v>
      </c>
      <c r="CE47" s="12">
        <f t="shared" si="14"/>
        <v>0.39484815636942483</v>
      </c>
      <c r="CF47" s="12">
        <f t="shared" si="14"/>
        <v>0.39484815637846954</v>
      </c>
      <c r="CG47" s="12">
        <f t="shared" si="14"/>
        <v>0.39484815637987963</v>
      </c>
      <c r="CH47" s="12">
        <f t="shared" si="14"/>
        <v>0.39484815638009951</v>
      </c>
      <c r="CI47" s="12">
        <f t="shared" si="9"/>
        <v>0.39484815638013382</v>
      </c>
      <c r="CJ47" s="12">
        <f t="shared" si="9"/>
        <v>0.39484815638013915</v>
      </c>
      <c r="CK47" s="12">
        <f t="shared" si="9"/>
        <v>0.39484815638013998</v>
      </c>
      <c r="CL47" s="12">
        <f t="shared" si="9"/>
        <v>0.39484815638014015</v>
      </c>
      <c r="CM47" s="12">
        <f t="shared" si="9"/>
        <v>0.39484815638014015</v>
      </c>
      <c r="CN47" s="12">
        <f t="shared" si="9"/>
        <v>0.39484815638014015</v>
      </c>
      <c r="CO47" s="12">
        <f t="shared" si="9"/>
        <v>0.39484815638014015</v>
      </c>
      <c r="CP47" s="12">
        <f t="shared" si="9"/>
        <v>0.39484815638014015</v>
      </c>
      <c r="CQ47" s="12">
        <f t="shared" si="9"/>
        <v>0.39484815638014015</v>
      </c>
      <c r="CR47" s="12">
        <f t="shared" si="9"/>
        <v>0.39484815638014015</v>
      </c>
      <c r="CS47" s="12">
        <f t="shared" si="9"/>
        <v>0.39484815638014015</v>
      </c>
      <c r="CT47" s="12">
        <f t="shared" si="9"/>
        <v>0.39484815638014015</v>
      </c>
      <c r="CU47" s="11">
        <f t="shared" si="9"/>
        <v>0.39484815638014015</v>
      </c>
      <c r="CW47" s="16"/>
      <c r="CX47" s="11">
        <f t="shared" si="15"/>
        <v>300</v>
      </c>
      <c r="CY47" s="12">
        <f t="shared" si="16"/>
        <v>193.44454151540529</v>
      </c>
      <c r="CZ47" s="12">
        <f t="shared" si="10"/>
        <v>173.20077052461778</v>
      </c>
      <c r="DA47" s="12">
        <f t="shared" si="10"/>
        <v>163.6884310605578</v>
      </c>
      <c r="DB47" s="12">
        <f t="shared" si="10"/>
        <v>155.82167714194907</v>
      </c>
      <c r="DC47" s="12">
        <f t="shared" si="10"/>
        <v>148.324186547935</v>
      </c>
      <c r="DD47" s="12">
        <f t="shared" si="10"/>
        <v>141.04011181827005</v>
      </c>
      <c r="DE47" s="12">
        <f t="shared" si="10"/>
        <v>133.97730375540294</v>
      </c>
      <c r="DF47" s="12">
        <f t="shared" si="10"/>
        <v>127.16555025152201</v>
      </c>
      <c r="DG47" s="12">
        <f t="shared" si="10"/>
        <v>120.63520343872973</v>
      </c>
      <c r="DH47" s="12">
        <f t="shared" si="10"/>
        <v>114.4137053884088</v>
      </c>
      <c r="DI47" s="12">
        <f t="shared" si="10"/>
        <v>108.52480945516901</v>
      </c>
      <c r="DJ47" s="12">
        <f t="shared" si="10"/>
        <v>102.98824506412042</v>
      </c>
      <c r="DK47" s="12">
        <f t="shared" si="10"/>
        <v>97.819494265442046</v>
      </c>
      <c r="DL47" s="12">
        <f t="shared" si="10"/>
        <v>93.029632217098879</v>
      </c>
      <c r="DM47" s="12">
        <f t="shared" si="10"/>
        <v>88.625225012625975</v>
      </c>
      <c r="DN47" s="12">
        <f t="shared" si="10"/>
        <v>84.608283648313673</v>
      </c>
      <c r="DO47" s="12">
        <f t="shared" si="10"/>
        <v>80.976273050937309</v>
      </c>
      <c r="DP47" s="12">
        <f t="shared" si="11"/>
        <v>77.722174507935748</v>
      </c>
      <c r="DQ47" s="12">
        <f t="shared" si="11"/>
        <v>74.834599237527414</v>
      </c>
      <c r="DR47" s="12">
        <f t="shared" si="11"/>
        <v>72.29795031229223</v>
      </c>
      <c r="DS47" s="12">
        <f t="shared" si="11"/>
        <v>70.092629723050678</v>
      </c>
      <c r="DT47" s="12">
        <f t="shared" si="11"/>
        <v>68.195287040548635</v>
      </c>
      <c r="DU47" s="12">
        <f t="shared" si="11"/>
        <v>66.579105894969516</v>
      </c>
      <c r="DV47" s="12">
        <f t="shared" si="11"/>
        <v>65.214124338581485</v>
      </c>
      <c r="DW47" s="12">
        <f t="shared" si="11"/>
        <v>64.067585073222418</v>
      </c>
      <c r="DX47" s="12">
        <f t="shared" si="11"/>
        <v>63.104311498362364</v>
      </c>
      <c r="DY47" s="12">
        <f t="shared" si="11"/>
        <v>62.287105552704581</v>
      </c>
      <c r="DZ47" s="12">
        <f t="shared" si="11"/>
        <v>61.577163368070188</v>
      </c>
      <c r="EA47" s="11">
        <f t="shared" si="11"/>
        <v>60.93450481465274</v>
      </c>
    </row>
    <row r="48" spans="5:131" x14ac:dyDescent="0.3">
      <c r="E48" s="16"/>
      <c r="F48" s="11">
        <f t="shared" si="17"/>
        <v>300</v>
      </c>
      <c r="G48" s="12">
        <f t="shared" si="12"/>
        <v>287.20458331783192</v>
      </c>
      <c r="H48" s="12">
        <f t="shared" si="12"/>
        <v>274.47945650127753</v>
      </c>
      <c r="I48" s="12">
        <f t="shared" si="12"/>
        <v>261.89403216396988</v>
      </c>
      <c r="J48" s="12">
        <f t="shared" si="12"/>
        <v>249.51598121594662</v>
      </c>
      <c r="K48" s="12">
        <f t="shared" si="12"/>
        <v>237.41039374200534</v>
      </c>
      <c r="L48" s="12">
        <f t="shared" si="12"/>
        <v>225.6389772072514</v>
      </c>
      <c r="M48" s="12">
        <f t="shared" si="12"/>
        <v>214.25930321091454</v>
      </c>
      <c r="N48" s="12">
        <f t="shared" si="12"/>
        <v>203.32411301536513</v>
      </c>
      <c r="O48" s="12">
        <f t="shared" si="12"/>
        <v>192.88069089761242</v>
      </c>
      <c r="P48" s="12">
        <f t="shared" si="12"/>
        <v>182.97031304318861</v>
      </c>
      <c r="Q48" s="12">
        <f t="shared" si="12"/>
        <v>173.62777826859929</v>
      </c>
      <c r="R48" s="12">
        <f t="shared" si="12"/>
        <v>164.88102536165584</v>
      </c>
      <c r="S48" s="12">
        <f t="shared" si="12"/>
        <v>156.75084031219731</v>
      </c>
      <c r="T48" s="12">
        <f t="shared" si="12"/>
        <v>149.25065521040034</v>
      </c>
      <c r="U48" s="12">
        <f t="shared" si="12"/>
        <v>142.38643915412516</v>
      </c>
      <c r="V48" s="12">
        <f t="shared" si="12"/>
        <v>136.15668016384512</v>
      </c>
      <c r="W48" s="12">
        <f t="shared" si="4"/>
        <v>130.55245588106158</v>
      </c>
      <c r="X48" s="12">
        <f t="shared" si="4"/>
        <v>125.55758974443731</v>
      </c>
      <c r="Y48" s="12">
        <f t="shared" si="5"/>
        <v>121.14888841078474</v>
      </c>
      <c r="Z48" s="12">
        <f t="shared" si="5"/>
        <v>117.2964554218869</v>
      </c>
      <c r="AA48" s="12">
        <f t="shared" si="5"/>
        <v>113.96407551228972</v>
      </c>
      <c r="AB48" s="12">
        <f t="shared" si="5"/>
        <v>111.10966350062378</v>
      </c>
      <c r="AC48" s="12">
        <f t="shared" si="5"/>
        <v>108.68577139501528</v>
      </c>
      <c r="AD48" s="12">
        <f t="shared" si="5"/>
        <v>106.64014715446098</v>
      </c>
      <c r="AE48" s="12">
        <f t="shared" si="5"/>
        <v>104.91633846201012</v>
      </c>
      <c r="AF48" s="12">
        <f t="shared" si="5"/>
        <v>103.45433485945048</v>
      </c>
      <c r="AG48" s="12">
        <f t="shared" si="5"/>
        <v>102.19124164338537</v>
      </c>
      <c r="AH48" s="12">
        <f t="shared" si="5"/>
        <v>101.0619790060842</v>
      </c>
      <c r="AI48" s="11">
        <f t="shared" si="18"/>
        <v>100</v>
      </c>
      <c r="AK48" s="17"/>
      <c r="AL48" s="11">
        <f t="shared" si="13"/>
        <v>-1076400000</v>
      </c>
      <c r="AM48" s="12">
        <f t="shared" si="6"/>
        <v>-1030218121.5702678</v>
      </c>
      <c r="AN48" s="12">
        <f t="shared" si="6"/>
        <v>-984291836.91536975</v>
      </c>
      <c r="AO48" s="12">
        <f t="shared" si="6"/>
        <v>-938873542.71053863</v>
      </c>
      <c r="AP48" s="12">
        <f t="shared" si="6"/>
        <v>-894209288.40698302</v>
      </c>
      <c r="AQ48" s="12">
        <f t="shared" si="6"/>
        <v>-850535719.05097508</v>
      </c>
      <c r="AR48" s="12">
        <f t="shared" si="6"/>
        <v>-808077155.0354979</v>
      </c>
      <c r="AS48" s="12">
        <f t="shared" si="6"/>
        <v>-767042849.88903522</v>
      </c>
      <c r="AT48" s="12">
        <f t="shared" si="6"/>
        <v>-727624463.51336575</v>
      </c>
      <c r="AU48" s="12">
        <f t="shared" si="6"/>
        <v>-689993783.90351927</v>
      </c>
      <c r="AV48" s="12">
        <f t="shared" si="6"/>
        <v>-654300725.46031308</v>
      </c>
      <c r="AW48" s="12">
        <f t="shared" si="6"/>
        <v>-620671626.69455945</v>
      </c>
      <c r="AX48" s="12">
        <f t="shared" si="6"/>
        <v>-589207864.58415508</v>
      </c>
      <c r="AY48" s="12">
        <f t="shared" si="6"/>
        <v>-559984797.24264038</v>
      </c>
      <c r="AZ48" s="12">
        <f t="shared" si="6"/>
        <v>-533051041.04541081</v>
      </c>
      <c r="BA48" s="12">
        <f t="shared" si="6"/>
        <v>-508428083.07949233</v>
      </c>
      <c r="BB48" s="12">
        <f t="shared" ref="BB48:BO62" si="19">-($C$10*$C$9*V17)/($C$7)</f>
        <v>-486110224.85845542</v>
      </c>
      <c r="BC48" s="12">
        <f t="shared" si="7"/>
        <v>-466064848.77701718</v>
      </c>
      <c r="BD48" s="12">
        <f t="shared" si="7"/>
        <v>-448232994.84626472</v>
      </c>
      <c r="BE48" s="12">
        <f t="shared" si="7"/>
        <v>-432530231.89937741</v>
      </c>
      <c r="BF48" s="12">
        <f t="shared" si="7"/>
        <v>-418847804.71114779</v>
      </c>
      <c r="BG48" s="12">
        <f t="shared" si="7"/>
        <v>-407054036.32815886</v>
      </c>
      <c r="BH48" s="12">
        <f t="shared" si="7"/>
        <v>-396995963.33166438</v>
      </c>
      <c r="BI48" s="12">
        <f t="shared" si="7"/>
        <v>-388501180.70256627</v>
      </c>
      <c r="BJ48" s="12">
        <f t="shared" si="7"/>
        <v>-381379872.3608129</v>
      </c>
      <c r="BK48" s="12">
        <f t="shared" si="7"/>
        <v>-375427003.23093915</v>
      </c>
      <c r="BL48" s="12">
        <f t="shared" si="7"/>
        <v>-370424648.75451565</v>
      </c>
      <c r="BM48" s="12">
        <f t="shared" si="7"/>
        <v>-366144438.03946048</v>
      </c>
      <c r="BN48" s="12">
        <f t="shared" si="7"/>
        <v>-362350087.21810418</v>
      </c>
      <c r="BO48" s="11">
        <f t="shared" si="7"/>
        <v>-358800000</v>
      </c>
      <c r="BQ48" s="16"/>
      <c r="BR48" s="11">
        <v>0</v>
      </c>
      <c r="BS48" s="12">
        <f t="shared" si="14"/>
        <v>0.3415922014622258</v>
      </c>
      <c r="BT48" s="12">
        <f t="shared" si="14"/>
        <v>0.3867162803971414</v>
      </c>
      <c r="BU48" s="12">
        <f t="shared" si="14"/>
        <v>0.39358441341045353</v>
      </c>
      <c r="BV48" s="12">
        <f t="shared" si="14"/>
        <v>0.39465123071155611</v>
      </c>
      <c r="BW48" s="12">
        <f t="shared" si="14"/>
        <v>0.39481745705771337</v>
      </c>
      <c r="BX48" s="12">
        <f t="shared" si="14"/>
        <v>0.39484337025824801</v>
      </c>
      <c r="BY48" s="12">
        <f t="shared" si="14"/>
        <v>0.39484741020089792</v>
      </c>
      <c r="BZ48" s="12">
        <f t="shared" si="14"/>
        <v>0.39484804004704999</v>
      </c>
      <c r="CA48" s="12">
        <f t="shared" si="14"/>
        <v>0.39484813824322279</v>
      </c>
      <c r="CB48" s="12">
        <f t="shared" si="14"/>
        <v>0.39484815355250286</v>
      </c>
      <c r="CC48" s="12">
        <f t="shared" si="14"/>
        <v>0.39484815593929717</v>
      </c>
      <c r="CD48" s="12">
        <f t="shared" si="14"/>
        <v>0.39484815631141046</v>
      </c>
      <c r="CE48" s="12">
        <f t="shared" si="14"/>
        <v>0.39484815636942483</v>
      </c>
      <c r="CF48" s="12">
        <f t="shared" si="14"/>
        <v>0.39484815637846954</v>
      </c>
      <c r="CG48" s="12">
        <f t="shared" si="14"/>
        <v>0.39484815637987963</v>
      </c>
      <c r="CH48" s="12">
        <f t="shared" si="14"/>
        <v>0.39484815638009951</v>
      </c>
      <c r="CI48" s="12">
        <f t="shared" si="9"/>
        <v>0.39484815638013382</v>
      </c>
      <c r="CJ48" s="12">
        <f t="shared" si="9"/>
        <v>0.39484815638013915</v>
      </c>
      <c r="CK48" s="12">
        <f t="shared" si="9"/>
        <v>0.39484815638013998</v>
      </c>
      <c r="CL48" s="12">
        <f t="shared" si="9"/>
        <v>0.39484815638014015</v>
      </c>
      <c r="CM48" s="12">
        <f t="shared" si="9"/>
        <v>0.39484815638014015</v>
      </c>
      <c r="CN48" s="12">
        <f t="shared" si="9"/>
        <v>0.39484815638014015</v>
      </c>
      <c r="CO48" s="12">
        <f t="shared" si="9"/>
        <v>0.39484815638014015</v>
      </c>
      <c r="CP48" s="12">
        <f t="shared" si="9"/>
        <v>0.39484815638014015</v>
      </c>
      <c r="CQ48" s="12">
        <f t="shared" si="9"/>
        <v>0.39484815638014015</v>
      </c>
      <c r="CR48" s="12">
        <f t="shared" si="9"/>
        <v>0.39484815638014015</v>
      </c>
      <c r="CS48" s="12">
        <f t="shared" si="9"/>
        <v>0.39484815638014015</v>
      </c>
      <c r="CT48" s="12">
        <f t="shared" si="9"/>
        <v>0.39484815638014015</v>
      </c>
      <c r="CU48" s="11">
        <f t="shared" si="9"/>
        <v>0.39484815638014015</v>
      </c>
      <c r="CW48" s="16"/>
      <c r="CX48" s="11">
        <f t="shared" si="15"/>
        <v>300</v>
      </c>
      <c r="CY48" s="12">
        <f t="shared" si="16"/>
        <v>193.44454151540529</v>
      </c>
      <c r="CZ48" s="12">
        <f t="shared" si="10"/>
        <v>173.20077052461778</v>
      </c>
      <c r="DA48" s="12">
        <f t="shared" si="10"/>
        <v>163.6884310605578</v>
      </c>
      <c r="DB48" s="12">
        <f t="shared" si="10"/>
        <v>155.8216771419491</v>
      </c>
      <c r="DC48" s="12">
        <f t="shared" si="10"/>
        <v>148.324186547935</v>
      </c>
      <c r="DD48" s="12">
        <f t="shared" si="10"/>
        <v>141.04011181827005</v>
      </c>
      <c r="DE48" s="12">
        <f t="shared" si="10"/>
        <v>133.97730375540294</v>
      </c>
      <c r="DF48" s="12">
        <f t="shared" si="10"/>
        <v>127.16555025152201</v>
      </c>
      <c r="DG48" s="12">
        <f t="shared" si="10"/>
        <v>120.63520343872973</v>
      </c>
      <c r="DH48" s="12">
        <f t="shared" si="10"/>
        <v>114.4137053884088</v>
      </c>
      <c r="DI48" s="12">
        <f t="shared" si="10"/>
        <v>108.52480945516901</v>
      </c>
      <c r="DJ48" s="12">
        <f t="shared" si="10"/>
        <v>102.98824506412042</v>
      </c>
      <c r="DK48" s="12">
        <f t="shared" si="10"/>
        <v>97.819494265442046</v>
      </c>
      <c r="DL48" s="12">
        <f t="shared" si="10"/>
        <v>93.029632217098879</v>
      </c>
      <c r="DM48" s="12">
        <f t="shared" si="10"/>
        <v>88.625225012625975</v>
      </c>
      <c r="DN48" s="12">
        <f t="shared" si="10"/>
        <v>84.608283648313673</v>
      </c>
      <c r="DO48" s="12">
        <f t="shared" ref="DO48:EA62" si="20">($C$18*DN48-BC48)/($C$17-$C$18*CH48)</f>
        <v>80.976273050937309</v>
      </c>
      <c r="DP48" s="12">
        <f t="shared" si="11"/>
        <v>77.722174507935748</v>
      </c>
      <c r="DQ48" s="12">
        <f t="shared" si="11"/>
        <v>74.834599237527414</v>
      </c>
      <c r="DR48" s="12">
        <f t="shared" si="11"/>
        <v>72.29795031229223</v>
      </c>
      <c r="DS48" s="12">
        <f t="shared" si="11"/>
        <v>70.092629723050678</v>
      </c>
      <c r="DT48" s="12">
        <f t="shared" si="11"/>
        <v>68.195287040548635</v>
      </c>
      <c r="DU48" s="12">
        <f t="shared" si="11"/>
        <v>66.579105894969516</v>
      </c>
      <c r="DV48" s="12">
        <f t="shared" si="11"/>
        <v>65.214124338581485</v>
      </c>
      <c r="DW48" s="12">
        <f t="shared" si="11"/>
        <v>64.067585073222432</v>
      </c>
      <c r="DX48" s="12">
        <f t="shared" si="11"/>
        <v>63.104311498362371</v>
      </c>
      <c r="DY48" s="12">
        <f t="shared" si="11"/>
        <v>62.287105552704595</v>
      </c>
      <c r="DZ48" s="12">
        <f t="shared" si="11"/>
        <v>61.577163368070188</v>
      </c>
      <c r="EA48" s="11">
        <f t="shared" si="11"/>
        <v>60.93450481465274</v>
      </c>
    </row>
    <row r="49" spans="5:131" x14ac:dyDescent="0.3">
      <c r="E49" s="16"/>
      <c r="F49" s="11">
        <f t="shared" si="17"/>
        <v>300</v>
      </c>
      <c r="G49" s="12">
        <f t="shared" si="12"/>
        <v>287.20458331783192</v>
      </c>
      <c r="H49" s="12">
        <f t="shared" si="12"/>
        <v>274.47945650127753</v>
      </c>
      <c r="I49" s="12">
        <f t="shared" si="12"/>
        <v>261.89403216396988</v>
      </c>
      <c r="J49" s="12">
        <f t="shared" si="12"/>
        <v>249.5159812159466</v>
      </c>
      <c r="K49" s="12">
        <f t="shared" si="12"/>
        <v>237.41039374200534</v>
      </c>
      <c r="L49" s="12">
        <f t="shared" si="12"/>
        <v>225.6389772072514</v>
      </c>
      <c r="M49" s="12">
        <f t="shared" si="12"/>
        <v>214.25930321091454</v>
      </c>
      <c r="N49" s="12">
        <f t="shared" si="12"/>
        <v>203.32411301536513</v>
      </c>
      <c r="O49" s="12">
        <f t="shared" si="12"/>
        <v>192.88069089761242</v>
      </c>
      <c r="P49" s="12">
        <f t="shared" si="12"/>
        <v>182.97031304318861</v>
      </c>
      <c r="Q49" s="12">
        <f t="shared" si="12"/>
        <v>173.62777826859929</v>
      </c>
      <c r="R49" s="12">
        <f t="shared" si="12"/>
        <v>164.88102536165584</v>
      </c>
      <c r="S49" s="12">
        <f t="shared" si="12"/>
        <v>156.75084031219731</v>
      </c>
      <c r="T49" s="12">
        <f t="shared" si="12"/>
        <v>149.25065521040034</v>
      </c>
      <c r="U49" s="12">
        <f t="shared" si="12"/>
        <v>142.38643915412516</v>
      </c>
      <c r="V49" s="12">
        <f t="shared" si="12"/>
        <v>136.15668016384512</v>
      </c>
      <c r="W49" s="12">
        <f t="shared" ref="W49:AH62" si="21">CI49*X49+DO49</f>
        <v>130.55245588106158</v>
      </c>
      <c r="X49" s="12">
        <f t="shared" si="21"/>
        <v>125.55758974443731</v>
      </c>
      <c r="Y49" s="12">
        <f t="shared" si="21"/>
        <v>121.14888841078474</v>
      </c>
      <c r="Z49" s="12">
        <f t="shared" si="21"/>
        <v>117.2964554218869</v>
      </c>
      <c r="AA49" s="12">
        <f t="shared" si="21"/>
        <v>113.96407551228972</v>
      </c>
      <c r="AB49" s="12">
        <f t="shared" si="21"/>
        <v>111.10966350062378</v>
      </c>
      <c r="AC49" s="12">
        <f t="shared" si="21"/>
        <v>108.68577139501528</v>
      </c>
      <c r="AD49" s="12">
        <f t="shared" si="21"/>
        <v>106.64014715446098</v>
      </c>
      <c r="AE49" s="12">
        <f t="shared" si="21"/>
        <v>104.91633846201012</v>
      </c>
      <c r="AF49" s="12">
        <f t="shared" si="21"/>
        <v>103.45433485945048</v>
      </c>
      <c r="AG49" s="12">
        <f t="shared" si="21"/>
        <v>102.19124164338537</v>
      </c>
      <c r="AH49" s="12">
        <f t="shared" si="21"/>
        <v>101.0619790060842</v>
      </c>
      <c r="AI49" s="11">
        <f t="shared" si="18"/>
        <v>100</v>
      </c>
      <c r="AK49" s="17"/>
      <c r="AL49" s="11">
        <f t="shared" si="13"/>
        <v>-1076400000</v>
      </c>
      <c r="AM49" s="12">
        <f t="shared" si="13"/>
        <v>-1030218121.5702678</v>
      </c>
      <c r="AN49" s="12">
        <f t="shared" si="13"/>
        <v>-984291836.91536975</v>
      </c>
      <c r="AO49" s="12">
        <f t="shared" si="13"/>
        <v>-938873542.71053839</v>
      </c>
      <c r="AP49" s="12">
        <f t="shared" si="13"/>
        <v>-894209288.40698278</v>
      </c>
      <c r="AQ49" s="12">
        <f t="shared" si="13"/>
        <v>-850535719.05097497</v>
      </c>
      <c r="AR49" s="12">
        <f t="shared" si="13"/>
        <v>-808077155.03549778</v>
      </c>
      <c r="AS49" s="12">
        <f t="shared" si="13"/>
        <v>-767042849.88903522</v>
      </c>
      <c r="AT49" s="12">
        <f t="shared" si="13"/>
        <v>-727624463.51336575</v>
      </c>
      <c r="AU49" s="12">
        <f t="shared" si="13"/>
        <v>-689993783.90351927</v>
      </c>
      <c r="AV49" s="12">
        <f t="shared" si="13"/>
        <v>-654300725.46031308</v>
      </c>
      <c r="AW49" s="12">
        <f t="shared" si="13"/>
        <v>-620671626.69455945</v>
      </c>
      <c r="AX49" s="12">
        <f t="shared" si="13"/>
        <v>-589207864.58415508</v>
      </c>
      <c r="AY49" s="12">
        <f t="shared" si="13"/>
        <v>-559984797.24264038</v>
      </c>
      <c r="AZ49" s="12">
        <f t="shared" si="13"/>
        <v>-533051041.04541081</v>
      </c>
      <c r="BA49" s="12">
        <f t="shared" si="13"/>
        <v>-508428083.07949233</v>
      </c>
      <c r="BB49" s="12">
        <f t="shared" si="19"/>
        <v>-486110224.85845542</v>
      </c>
      <c r="BC49" s="12">
        <f t="shared" si="19"/>
        <v>-466064848.77701718</v>
      </c>
      <c r="BD49" s="12">
        <f t="shared" si="19"/>
        <v>-448232994.84626472</v>
      </c>
      <c r="BE49" s="12">
        <f t="shared" si="19"/>
        <v>-432530231.89937735</v>
      </c>
      <c r="BF49" s="12">
        <f t="shared" si="19"/>
        <v>-418847804.71114779</v>
      </c>
      <c r="BG49" s="12">
        <f t="shared" si="19"/>
        <v>-407054036.32815886</v>
      </c>
      <c r="BH49" s="12">
        <f t="shared" si="19"/>
        <v>-396995963.33166432</v>
      </c>
      <c r="BI49" s="12">
        <f t="shared" si="19"/>
        <v>-388501180.70256627</v>
      </c>
      <c r="BJ49" s="12">
        <f t="shared" si="19"/>
        <v>-381379872.3608129</v>
      </c>
      <c r="BK49" s="12">
        <f t="shared" si="19"/>
        <v>-375427003.23093915</v>
      </c>
      <c r="BL49" s="12">
        <f t="shared" si="19"/>
        <v>-370424648.75451565</v>
      </c>
      <c r="BM49" s="12">
        <f t="shared" si="19"/>
        <v>-366144438.03946048</v>
      </c>
      <c r="BN49" s="12">
        <f t="shared" si="19"/>
        <v>-362350087.21810418</v>
      </c>
      <c r="BO49" s="11">
        <f t="shared" si="19"/>
        <v>-358800000</v>
      </c>
      <c r="BQ49" s="16"/>
      <c r="BR49" s="11">
        <v>0</v>
      </c>
      <c r="BS49" s="12">
        <f t="shared" si="14"/>
        <v>0.3415922014622258</v>
      </c>
      <c r="BT49" s="12">
        <f t="shared" si="14"/>
        <v>0.3867162803971414</v>
      </c>
      <c r="BU49" s="12">
        <f t="shared" si="14"/>
        <v>0.39358441341045353</v>
      </c>
      <c r="BV49" s="12">
        <f t="shared" si="14"/>
        <v>0.39465123071155611</v>
      </c>
      <c r="BW49" s="12">
        <f t="shared" si="14"/>
        <v>0.39481745705771337</v>
      </c>
      <c r="BX49" s="12">
        <f t="shared" si="14"/>
        <v>0.39484337025824801</v>
      </c>
      <c r="BY49" s="12">
        <f t="shared" si="14"/>
        <v>0.39484741020089792</v>
      </c>
      <c r="BZ49" s="12">
        <f t="shared" si="14"/>
        <v>0.39484804004704999</v>
      </c>
      <c r="CA49" s="12">
        <f t="shared" si="14"/>
        <v>0.39484813824322279</v>
      </c>
      <c r="CB49" s="12">
        <f t="shared" si="14"/>
        <v>0.39484815355250286</v>
      </c>
      <c r="CC49" s="12">
        <f t="shared" si="14"/>
        <v>0.39484815593929717</v>
      </c>
      <c r="CD49" s="12">
        <f t="shared" si="14"/>
        <v>0.39484815631141046</v>
      </c>
      <c r="CE49" s="12">
        <f t="shared" si="14"/>
        <v>0.39484815636942483</v>
      </c>
      <c r="CF49" s="12">
        <f t="shared" si="14"/>
        <v>0.39484815637846954</v>
      </c>
      <c r="CG49" s="12">
        <f t="shared" si="14"/>
        <v>0.39484815637987963</v>
      </c>
      <c r="CH49" s="12">
        <f t="shared" ref="CH49:CU62" si="22">$C$16/($C$17-$C$18*CG49)</f>
        <v>0.39484815638009951</v>
      </c>
      <c r="CI49" s="12">
        <f t="shared" si="22"/>
        <v>0.39484815638013382</v>
      </c>
      <c r="CJ49" s="12">
        <f t="shared" si="22"/>
        <v>0.39484815638013915</v>
      </c>
      <c r="CK49" s="12">
        <f t="shared" si="22"/>
        <v>0.39484815638013998</v>
      </c>
      <c r="CL49" s="12">
        <f t="shared" si="22"/>
        <v>0.39484815638014015</v>
      </c>
      <c r="CM49" s="12">
        <f t="shared" si="22"/>
        <v>0.39484815638014015</v>
      </c>
      <c r="CN49" s="12">
        <f t="shared" si="22"/>
        <v>0.39484815638014015</v>
      </c>
      <c r="CO49" s="12">
        <f t="shared" si="22"/>
        <v>0.39484815638014015</v>
      </c>
      <c r="CP49" s="12">
        <f t="shared" si="22"/>
        <v>0.39484815638014015</v>
      </c>
      <c r="CQ49" s="12">
        <f t="shared" si="22"/>
        <v>0.39484815638014015</v>
      </c>
      <c r="CR49" s="12">
        <f t="shared" si="22"/>
        <v>0.39484815638014015</v>
      </c>
      <c r="CS49" s="12">
        <f t="shared" si="22"/>
        <v>0.39484815638014015</v>
      </c>
      <c r="CT49" s="12">
        <f t="shared" si="22"/>
        <v>0.39484815638014015</v>
      </c>
      <c r="CU49" s="11">
        <f t="shared" si="22"/>
        <v>0.39484815638014015</v>
      </c>
      <c r="CW49" s="16"/>
      <c r="CX49" s="11">
        <f t="shared" si="15"/>
        <v>300</v>
      </c>
      <c r="CY49" s="12">
        <f t="shared" si="16"/>
        <v>193.44454151540529</v>
      </c>
      <c r="CZ49" s="12">
        <f t="shared" si="16"/>
        <v>173.20077052461778</v>
      </c>
      <c r="DA49" s="12">
        <f t="shared" si="16"/>
        <v>163.6884310605578</v>
      </c>
      <c r="DB49" s="12">
        <f t="shared" si="16"/>
        <v>155.82167714194907</v>
      </c>
      <c r="DC49" s="12">
        <f t="shared" si="16"/>
        <v>148.324186547935</v>
      </c>
      <c r="DD49" s="12">
        <f t="shared" si="16"/>
        <v>141.04011181827005</v>
      </c>
      <c r="DE49" s="12">
        <f t="shared" si="16"/>
        <v>133.97730375540294</v>
      </c>
      <c r="DF49" s="12">
        <f t="shared" si="16"/>
        <v>127.16555025152201</v>
      </c>
      <c r="DG49" s="12">
        <f t="shared" si="16"/>
        <v>120.63520343872973</v>
      </c>
      <c r="DH49" s="12">
        <f t="shared" si="16"/>
        <v>114.4137053884088</v>
      </c>
      <c r="DI49" s="12">
        <f t="shared" si="16"/>
        <v>108.52480945516901</v>
      </c>
      <c r="DJ49" s="12">
        <f t="shared" si="16"/>
        <v>102.98824506412042</v>
      </c>
      <c r="DK49" s="12">
        <f t="shared" si="16"/>
        <v>97.819494265442046</v>
      </c>
      <c r="DL49" s="12">
        <f t="shared" si="16"/>
        <v>93.029632217098879</v>
      </c>
      <c r="DM49" s="12">
        <f t="shared" si="16"/>
        <v>88.625225012625975</v>
      </c>
      <c r="DN49" s="12">
        <f t="shared" si="16"/>
        <v>84.608283648313673</v>
      </c>
      <c r="DO49" s="12">
        <f t="shared" si="20"/>
        <v>80.976273050937309</v>
      </c>
      <c r="DP49" s="12">
        <f t="shared" si="20"/>
        <v>77.722174507935748</v>
      </c>
      <c r="DQ49" s="12">
        <f t="shared" si="20"/>
        <v>74.834599237527414</v>
      </c>
      <c r="DR49" s="12">
        <f t="shared" si="20"/>
        <v>72.29795031229223</v>
      </c>
      <c r="DS49" s="12">
        <f t="shared" si="20"/>
        <v>70.092629723050678</v>
      </c>
      <c r="DT49" s="12">
        <f t="shared" si="20"/>
        <v>68.195287040548635</v>
      </c>
      <c r="DU49" s="12">
        <f t="shared" si="20"/>
        <v>66.579105894969516</v>
      </c>
      <c r="DV49" s="12">
        <f t="shared" si="20"/>
        <v>65.214124338581485</v>
      </c>
      <c r="DW49" s="12">
        <f t="shared" si="20"/>
        <v>64.067585073222432</v>
      </c>
      <c r="DX49" s="12">
        <f t="shared" si="20"/>
        <v>63.104311498362371</v>
      </c>
      <c r="DY49" s="12">
        <f t="shared" si="20"/>
        <v>62.287105552704595</v>
      </c>
      <c r="DZ49" s="12">
        <f t="shared" si="20"/>
        <v>61.577163368070188</v>
      </c>
      <c r="EA49" s="11">
        <f t="shared" si="20"/>
        <v>60.93450481465274</v>
      </c>
    </row>
    <row r="50" spans="5:131" x14ac:dyDescent="0.3">
      <c r="E50" s="16"/>
      <c r="F50" s="11">
        <f t="shared" si="17"/>
        <v>300</v>
      </c>
      <c r="G50" s="12">
        <f t="shared" ref="G50:V62" si="23">BS50*H50+CY50</f>
        <v>287.20458331783192</v>
      </c>
      <c r="H50" s="12">
        <f t="shared" si="23"/>
        <v>274.47945650127747</v>
      </c>
      <c r="I50" s="12">
        <f t="shared" si="23"/>
        <v>261.89403216396983</v>
      </c>
      <c r="J50" s="12">
        <f t="shared" si="23"/>
        <v>249.51598121594654</v>
      </c>
      <c r="K50" s="12">
        <f t="shared" si="23"/>
        <v>237.41039374200528</v>
      </c>
      <c r="L50" s="12">
        <f t="shared" si="23"/>
        <v>225.63897720725134</v>
      </c>
      <c r="M50" s="12">
        <f t="shared" si="23"/>
        <v>214.25930321091454</v>
      </c>
      <c r="N50" s="12">
        <f t="shared" si="23"/>
        <v>203.32411301536513</v>
      </c>
      <c r="O50" s="12">
        <f t="shared" si="23"/>
        <v>192.88069089761242</v>
      </c>
      <c r="P50" s="12">
        <f t="shared" si="23"/>
        <v>182.97031304318861</v>
      </c>
      <c r="Q50" s="12">
        <f t="shared" si="23"/>
        <v>173.62777826859929</v>
      </c>
      <c r="R50" s="12">
        <f t="shared" si="23"/>
        <v>164.88102536165582</v>
      </c>
      <c r="S50" s="12">
        <f t="shared" si="23"/>
        <v>156.75084031219728</v>
      </c>
      <c r="T50" s="12">
        <f t="shared" si="23"/>
        <v>149.25065521040031</v>
      </c>
      <c r="U50" s="12">
        <f t="shared" si="23"/>
        <v>142.38643915412516</v>
      </c>
      <c r="V50" s="12">
        <f t="shared" si="23"/>
        <v>136.15668016384512</v>
      </c>
      <c r="W50" s="12">
        <f t="shared" si="21"/>
        <v>130.55245588106158</v>
      </c>
      <c r="X50" s="12">
        <f t="shared" si="21"/>
        <v>125.55758974443731</v>
      </c>
      <c r="Y50" s="12">
        <f t="shared" si="21"/>
        <v>121.14888841078474</v>
      </c>
      <c r="Z50" s="12">
        <f t="shared" si="21"/>
        <v>117.2964554218869</v>
      </c>
      <c r="AA50" s="12">
        <f t="shared" si="21"/>
        <v>113.96407551228972</v>
      </c>
      <c r="AB50" s="12">
        <f t="shared" si="21"/>
        <v>111.10966350062378</v>
      </c>
      <c r="AC50" s="12">
        <f t="shared" si="21"/>
        <v>108.68577139501528</v>
      </c>
      <c r="AD50" s="12">
        <f t="shared" si="21"/>
        <v>106.64014715446098</v>
      </c>
      <c r="AE50" s="12">
        <f t="shared" si="21"/>
        <v>104.91633846201012</v>
      </c>
      <c r="AF50" s="12">
        <f t="shared" si="21"/>
        <v>103.45433485945048</v>
      </c>
      <c r="AG50" s="12">
        <f t="shared" si="21"/>
        <v>102.19124164338535</v>
      </c>
      <c r="AH50" s="12">
        <f t="shared" si="21"/>
        <v>101.0619790060842</v>
      </c>
      <c r="AI50" s="11">
        <f t="shared" si="18"/>
        <v>100</v>
      </c>
      <c r="AK50" s="17"/>
      <c r="AL50" s="11">
        <f t="shared" si="13"/>
        <v>-1076400000</v>
      </c>
      <c r="AM50" s="12">
        <f t="shared" si="13"/>
        <v>-1030218121.5702678</v>
      </c>
      <c r="AN50" s="12">
        <f t="shared" si="13"/>
        <v>-984291836.91536951</v>
      </c>
      <c r="AO50" s="12">
        <f t="shared" si="13"/>
        <v>-938873542.71053815</v>
      </c>
      <c r="AP50" s="12">
        <f t="shared" si="13"/>
        <v>-894209288.40698278</v>
      </c>
      <c r="AQ50" s="12">
        <f t="shared" si="13"/>
        <v>-850535719.05097485</v>
      </c>
      <c r="AR50" s="12">
        <f t="shared" si="13"/>
        <v>-808077155.03549767</v>
      </c>
      <c r="AS50" s="12">
        <f t="shared" si="13"/>
        <v>-767042849.88903522</v>
      </c>
      <c r="AT50" s="12">
        <f t="shared" si="13"/>
        <v>-727624463.51336575</v>
      </c>
      <c r="AU50" s="12">
        <f t="shared" si="13"/>
        <v>-689993783.90351927</v>
      </c>
      <c r="AV50" s="12">
        <f t="shared" si="13"/>
        <v>-654300725.46031296</v>
      </c>
      <c r="AW50" s="12">
        <f t="shared" si="13"/>
        <v>-620671626.69455945</v>
      </c>
      <c r="AX50" s="12">
        <f t="shared" si="13"/>
        <v>-589207864.58415508</v>
      </c>
      <c r="AY50" s="12">
        <f t="shared" si="13"/>
        <v>-559984797.24264038</v>
      </c>
      <c r="AZ50" s="12">
        <f t="shared" si="13"/>
        <v>-533051041.04541069</v>
      </c>
      <c r="BA50" s="12">
        <f t="shared" si="13"/>
        <v>-508428083.07949233</v>
      </c>
      <c r="BB50" s="12">
        <f t="shared" si="19"/>
        <v>-486110224.85845536</v>
      </c>
      <c r="BC50" s="12">
        <f t="shared" si="19"/>
        <v>-466064848.77701706</v>
      </c>
      <c r="BD50" s="12">
        <f t="shared" si="19"/>
        <v>-448232994.84626472</v>
      </c>
      <c r="BE50" s="12">
        <f t="shared" si="19"/>
        <v>-432530231.89937735</v>
      </c>
      <c r="BF50" s="12">
        <f t="shared" si="19"/>
        <v>-418847804.71114779</v>
      </c>
      <c r="BG50" s="12">
        <f t="shared" si="19"/>
        <v>-407054036.32815886</v>
      </c>
      <c r="BH50" s="12">
        <f t="shared" si="19"/>
        <v>-396995963.33166426</v>
      </c>
      <c r="BI50" s="12">
        <f t="shared" si="19"/>
        <v>-388501180.70256621</v>
      </c>
      <c r="BJ50" s="12">
        <f t="shared" si="19"/>
        <v>-381379872.36081284</v>
      </c>
      <c r="BK50" s="12">
        <f t="shared" si="19"/>
        <v>-375427003.23093915</v>
      </c>
      <c r="BL50" s="12">
        <f t="shared" si="19"/>
        <v>-370424648.75451565</v>
      </c>
      <c r="BM50" s="12">
        <f t="shared" si="19"/>
        <v>-366144438.03946042</v>
      </c>
      <c r="BN50" s="12">
        <f t="shared" si="19"/>
        <v>-362350087.21810418</v>
      </c>
      <c r="BO50" s="11">
        <f t="shared" si="19"/>
        <v>-358800000</v>
      </c>
      <c r="BQ50" s="16"/>
      <c r="BR50" s="11">
        <v>0</v>
      </c>
      <c r="BS50" s="12">
        <f t="shared" ref="BS50:CH62" si="24">$C$16/($C$17-$C$18*BR50)</f>
        <v>0.3415922014622258</v>
      </c>
      <c r="BT50" s="12">
        <f t="shared" si="24"/>
        <v>0.3867162803971414</v>
      </c>
      <c r="BU50" s="12">
        <f t="shared" si="24"/>
        <v>0.39358441341045353</v>
      </c>
      <c r="BV50" s="12">
        <f t="shared" si="24"/>
        <v>0.39465123071155611</v>
      </c>
      <c r="BW50" s="12">
        <f t="shared" si="24"/>
        <v>0.39481745705771337</v>
      </c>
      <c r="BX50" s="12">
        <f t="shared" si="24"/>
        <v>0.39484337025824801</v>
      </c>
      <c r="BY50" s="12">
        <f t="shared" si="24"/>
        <v>0.39484741020089792</v>
      </c>
      <c r="BZ50" s="12">
        <f t="shared" si="24"/>
        <v>0.39484804004704999</v>
      </c>
      <c r="CA50" s="12">
        <f t="shared" si="24"/>
        <v>0.39484813824322279</v>
      </c>
      <c r="CB50" s="12">
        <f t="shared" si="24"/>
        <v>0.39484815355250286</v>
      </c>
      <c r="CC50" s="12">
        <f t="shared" si="24"/>
        <v>0.39484815593929717</v>
      </c>
      <c r="CD50" s="12">
        <f t="shared" si="24"/>
        <v>0.39484815631141046</v>
      </c>
      <c r="CE50" s="12">
        <f t="shared" si="24"/>
        <v>0.39484815636942483</v>
      </c>
      <c r="CF50" s="12">
        <f t="shared" si="24"/>
        <v>0.39484815637846954</v>
      </c>
      <c r="CG50" s="12">
        <f t="shared" si="24"/>
        <v>0.39484815637987963</v>
      </c>
      <c r="CH50" s="12">
        <f t="shared" si="24"/>
        <v>0.39484815638009951</v>
      </c>
      <c r="CI50" s="12">
        <f t="shared" si="22"/>
        <v>0.39484815638013382</v>
      </c>
      <c r="CJ50" s="12">
        <f t="shared" si="22"/>
        <v>0.39484815638013915</v>
      </c>
      <c r="CK50" s="12">
        <f t="shared" si="22"/>
        <v>0.39484815638013998</v>
      </c>
      <c r="CL50" s="12">
        <f t="shared" si="22"/>
        <v>0.39484815638014015</v>
      </c>
      <c r="CM50" s="12">
        <f t="shared" si="22"/>
        <v>0.39484815638014015</v>
      </c>
      <c r="CN50" s="12">
        <f t="shared" si="22"/>
        <v>0.39484815638014015</v>
      </c>
      <c r="CO50" s="12">
        <f t="shared" si="22"/>
        <v>0.39484815638014015</v>
      </c>
      <c r="CP50" s="12">
        <f t="shared" si="22"/>
        <v>0.39484815638014015</v>
      </c>
      <c r="CQ50" s="12">
        <f t="shared" si="22"/>
        <v>0.39484815638014015</v>
      </c>
      <c r="CR50" s="12">
        <f t="shared" si="22"/>
        <v>0.39484815638014015</v>
      </c>
      <c r="CS50" s="12">
        <f t="shared" si="22"/>
        <v>0.39484815638014015</v>
      </c>
      <c r="CT50" s="12">
        <f t="shared" si="22"/>
        <v>0.39484815638014015</v>
      </c>
      <c r="CU50" s="11">
        <f t="shared" si="22"/>
        <v>0.39484815638014015</v>
      </c>
      <c r="CW50" s="16"/>
      <c r="CX50" s="11">
        <f t="shared" si="15"/>
        <v>300</v>
      </c>
      <c r="CY50" s="12">
        <f t="shared" si="16"/>
        <v>193.44454151540529</v>
      </c>
      <c r="CZ50" s="12">
        <f t="shared" si="16"/>
        <v>173.20077052461775</v>
      </c>
      <c r="DA50" s="12">
        <f t="shared" si="16"/>
        <v>163.68843106055775</v>
      </c>
      <c r="DB50" s="12">
        <f t="shared" si="16"/>
        <v>155.82167714194904</v>
      </c>
      <c r="DC50" s="12">
        <f t="shared" si="16"/>
        <v>148.32418654793494</v>
      </c>
      <c r="DD50" s="12">
        <f t="shared" si="16"/>
        <v>141.04011181826999</v>
      </c>
      <c r="DE50" s="12">
        <f t="shared" si="16"/>
        <v>133.97730375540294</v>
      </c>
      <c r="DF50" s="12">
        <f t="shared" si="16"/>
        <v>127.16555025152201</v>
      </c>
      <c r="DG50" s="12">
        <f t="shared" si="16"/>
        <v>120.63520343872973</v>
      </c>
      <c r="DH50" s="12">
        <f t="shared" si="16"/>
        <v>114.4137053884088</v>
      </c>
      <c r="DI50" s="12">
        <f t="shared" si="16"/>
        <v>108.52480945516901</v>
      </c>
      <c r="DJ50" s="12">
        <f t="shared" si="16"/>
        <v>102.98824506412042</v>
      </c>
      <c r="DK50" s="12">
        <f t="shared" si="16"/>
        <v>97.819494265442046</v>
      </c>
      <c r="DL50" s="12">
        <f t="shared" si="16"/>
        <v>93.029632217098865</v>
      </c>
      <c r="DM50" s="12">
        <f t="shared" si="16"/>
        <v>88.625225012625975</v>
      </c>
      <c r="DN50" s="12">
        <f t="shared" si="16"/>
        <v>84.608283648313673</v>
      </c>
      <c r="DO50" s="12">
        <f t="shared" si="20"/>
        <v>80.976273050937309</v>
      </c>
      <c r="DP50" s="12">
        <f t="shared" si="20"/>
        <v>77.722174507935748</v>
      </c>
      <c r="DQ50" s="12">
        <f t="shared" si="20"/>
        <v>74.834599237527414</v>
      </c>
      <c r="DR50" s="12">
        <f t="shared" si="20"/>
        <v>72.29795031229223</v>
      </c>
      <c r="DS50" s="12">
        <f t="shared" si="20"/>
        <v>70.092629723050678</v>
      </c>
      <c r="DT50" s="12">
        <f t="shared" si="20"/>
        <v>68.195287040548621</v>
      </c>
      <c r="DU50" s="12">
        <f t="shared" si="20"/>
        <v>66.579105894969516</v>
      </c>
      <c r="DV50" s="12">
        <f t="shared" si="20"/>
        <v>65.214124338581485</v>
      </c>
      <c r="DW50" s="12">
        <f t="shared" si="20"/>
        <v>64.067585073222432</v>
      </c>
      <c r="DX50" s="12">
        <f t="shared" si="20"/>
        <v>63.104311498362371</v>
      </c>
      <c r="DY50" s="12">
        <f t="shared" si="20"/>
        <v>62.287105552704581</v>
      </c>
      <c r="DZ50" s="12">
        <f t="shared" si="20"/>
        <v>61.577163368070188</v>
      </c>
      <c r="EA50" s="11">
        <f t="shared" si="20"/>
        <v>60.93450481465274</v>
      </c>
    </row>
    <row r="51" spans="5:131" x14ac:dyDescent="0.3">
      <c r="E51" s="16"/>
      <c r="F51" s="11">
        <f t="shared" si="17"/>
        <v>300</v>
      </c>
      <c r="G51" s="12">
        <f t="shared" si="23"/>
        <v>287.20458331783192</v>
      </c>
      <c r="H51" s="12">
        <f t="shared" si="23"/>
        <v>274.47945650127747</v>
      </c>
      <c r="I51" s="12">
        <f t="shared" si="23"/>
        <v>261.89403216396983</v>
      </c>
      <c r="J51" s="12">
        <f t="shared" si="23"/>
        <v>249.51598121594654</v>
      </c>
      <c r="K51" s="12">
        <f t="shared" si="23"/>
        <v>237.41039374200528</v>
      </c>
      <c r="L51" s="12">
        <f t="shared" si="23"/>
        <v>225.63897720725134</v>
      </c>
      <c r="M51" s="12">
        <f t="shared" si="23"/>
        <v>214.25930321091454</v>
      </c>
      <c r="N51" s="12">
        <f t="shared" si="23"/>
        <v>203.32411301536513</v>
      </c>
      <c r="O51" s="12">
        <f t="shared" si="23"/>
        <v>192.88069089761242</v>
      </c>
      <c r="P51" s="12">
        <f t="shared" si="23"/>
        <v>182.97031304318861</v>
      </c>
      <c r="Q51" s="12">
        <f t="shared" si="23"/>
        <v>173.62777826859929</v>
      </c>
      <c r="R51" s="12">
        <f t="shared" si="23"/>
        <v>164.88102536165582</v>
      </c>
      <c r="S51" s="12">
        <f t="shared" si="23"/>
        <v>156.75084031219728</v>
      </c>
      <c r="T51" s="12">
        <f t="shared" si="23"/>
        <v>149.25065521040031</v>
      </c>
      <c r="U51" s="12">
        <f t="shared" si="23"/>
        <v>142.38643915412516</v>
      </c>
      <c r="V51" s="12">
        <f t="shared" si="23"/>
        <v>136.15668016384512</v>
      </c>
      <c r="W51" s="12">
        <f t="shared" si="21"/>
        <v>130.55245588106158</v>
      </c>
      <c r="X51" s="12">
        <f t="shared" si="21"/>
        <v>125.55758974443731</v>
      </c>
      <c r="Y51" s="12">
        <f t="shared" si="21"/>
        <v>121.14888841078474</v>
      </c>
      <c r="Z51" s="12">
        <f t="shared" si="21"/>
        <v>117.2964554218869</v>
      </c>
      <c r="AA51" s="12">
        <f t="shared" si="21"/>
        <v>113.96407551228972</v>
      </c>
      <c r="AB51" s="12">
        <f t="shared" si="21"/>
        <v>111.10966350062378</v>
      </c>
      <c r="AC51" s="12">
        <f t="shared" si="21"/>
        <v>108.68577139501528</v>
      </c>
      <c r="AD51" s="12">
        <f t="shared" si="21"/>
        <v>106.64014715446098</v>
      </c>
      <c r="AE51" s="12">
        <f t="shared" si="21"/>
        <v>104.91633846201012</v>
      </c>
      <c r="AF51" s="12">
        <f t="shared" si="21"/>
        <v>103.45433485945048</v>
      </c>
      <c r="AG51" s="12">
        <f t="shared" si="21"/>
        <v>102.19124164338535</v>
      </c>
      <c r="AH51" s="12">
        <f t="shared" si="21"/>
        <v>101.0619790060842</v>
      </c>
      <c r="AI51" s="11">
        <f t="shared" si="18"/>
        <v>100</v>
      </c>
      <c r="AK51" s="17"/>
      <c r="AL51" s="11">
        <f t="shared" si="13"/>
        <v>-1076400000</v>
      </c>
      <c r="AM51" s="12">
        <f t="shared" si="13"/>
        <v>-1030218121.5702678</v>
      </c>
      <c r="AN51" s="12">
        <f t="shared" si="13"/>
        <v>-984291836.91536975</v>
      </c>
      <c r="AO51" s="12">
        <f t="shared" si="13"/>
        <v>-938873542.71053815</v>
      </c>
      <c r="AP51" s="12">
        <f t="shared" si="13"/>
        <v>-894209288.40698278</v>
      </c>
      <c r="AQ51" s="12">
        <f t="shared" si="13"/>
        <v>-850535719.05097485</v>
      </c>
      <c r="AR51" s="12">
        <f t="shared" si="13"/>
        <v>-808077155.03549767</v>
      </c>
      <c r="AS51" s="12">
        <f t="shared" si="13"/>
        <v>-767042849.88903522</v>
      </c>
      <c r="AT51" s="12">
        <f t="shared" si="13"/>
        <v>-727624463.51336575</v>
      </c>
      <c r="AU51" s="12">
        <f t="shared" si="13"/>
        <v>-689993783.90351927</v>
      </c>
      <c r="AV51" s="12">
        <f t="shared" si="13"/>
        <v>-654300725.46031296</v>
      </c>
      <c r="AW51" s="12">
        <f t="shared" si="13"/>
        <v>-620671626.69455945</v>
      </c>
      <c r="AX51" s="12">
        <f t="shared" si="13"/>
        <v>-589207864.58415508</v>
      </c>
      <c r="AY51" s="12">
        <f t="shared" si="13"/>
        <v>-559984797.24264038</v>
      </c>
      <c r="AZ51" s="12">
        <f t="shared" si="13"/>
        <v>-533051041.04541069</v>
      </c>
      <c r="BA51" s="12">
        <f t="shared" si="13"/>
        <v>-508428083.07949233</v>
      </c>
      <c r="BB51" s="12">
        <f t="shared" si="19"/>
        <v>-486110224.85845536</v>
      </c>
      <c r="BC51" s="12">
        <f t="shared" si="19"/>
        <v>-466064848.77701706</v>
      </c>
      <c r="BD51" s="12">
        <f t="shared" si="19"/>
        <v>-448232994.84626472</v>
      </c>
      <c r="BE51" s="12">
        <f t="shared" si="19"/>
        <v>-432530231.89937735</v>
      </c>
      <c r="BF51" s="12">
        <f t="shared" si="19"/>
        <v>-418847804.71114779</v>
      </c>
      <c r="BG51" s="12">
        <f t="shared" si="19"/>
        <v>-407054036.32815886</v>
      </c>
      <c r="BH51" s="12">
        <f t="shared" si="19"/>
        <v>-396995963.33166426</v>
      </c>
      <c r="BI51" s="12">
        <f t="shared" si="19"/>
        <v>-388501180.70256615</v>
      </c>
      <c r="BJ51" s="12">
        <f t="shared" si="19"/>
        <v>-381379872.3608129</v>
      </c>
      <c r="BK51" s="12">
        <f t="shared" si="19"/>
        <v>-375427003.23093915</v>
      </c>
      <c r="BL51" s="12">
        <f t="shared" si="19"/>
        <v>-370424648.75451565</v>
      </c>
      <c r="BM51" s="12">
        <f t="shared" si="19"/>
        <v>-366144438.03946042</v>
      </c>
      <c r="BN51" s="12">
        <f t="shared" si="19"/>
        <v>-362350087.21810418</v>
      </c>
      <c r="BO51" s="11">
        <f t="shared" si="19"/>
        <v>-358800000</v>
      </c>
      <c r="BQ51" s="16"/>
      <c r="BR51" s="11">
        <v>0</v>
      </c>
      <c r="BS51" s="12">
        <f t="shared" si="24"/>
        <v>0.3415922014622258</v>
      </c>
      <c r="BT51" s="12">
        <f t="shared" si="24"/>
        <v>0.3867162803971414</v>
      </c>
      <c r="BU51" s="12">
        <f t="shared" si="24"/>
        <v>0.39358441341045353</v>
      </c>
      <c r="BV51" s="12">
        <f t="shared" si="24"/>
        <v>0.39465123071155611</v>
      </c>
      <c r="BW51" s="12">
        <f t="shared" si="24"/>
        <v>0.39481745705771337</v>
      </c>
      <c r="BX51" s="12">
        <f t="shared" si="24"/>
        <v>0.39484337025824801</v>
      </c>
      <c r="BY51" s="12">
        <f t="shared" si="24"/>
        <v>0.39484741020089792</v>
      </c>
      <c r="BZ51" s="12">
        <f t="shared" si="24"/>
        <v>0.39484804004704999</v>
      </c>
      <c r="CA51" s="12">
        <f t="shared" si="24"/>
        <v>0.39484813824322279</v>
      </c>
      <c r="CB51" s="12">
        <f t="shared" si="24"/>
        <v>0.39484815355250286</v>
      </c>
      <c r="CC51" s="12">
        <f t="shared" si="24"/>
        <v>0.39484815593929717</v>
      </c>
      <c r="CD51" s="12">
        <f t="shared" si="24"/>
        <v>0.39484815631141046</v>
      </c>
      <c r="CE51" s="12">
        <f t="shared" si="24"/>
        <v>0.39484815636942483</v>
      </c>
      <c r="CF51" s="12">
        <f t="shared" si="24"/>
        <v>0.39484815637846954</v>
      </c>
      <c r="CG51" s="12">
        <f t="shared" si="24"/>
        <v>0.39484815637987963</v>
      </c>
      <c r="CH51" s="12">
        <f t="shared" si="24"/>
        <v>0.39484815638009951</v>
      </c>
      <c r="CI51" s="12">
        <f t="shared" si="22"/>
        <v>0.39484815638013382</v>
      </c>
      <c r="CJ51" s="12">
        <f t="shared" si="22"/>
        <v>0.39484815638013915</v>
      </c>
      <c r="CK51" s="12">
        <f t="shared" si="22"/>
        <v>0.39484815638013998</v>
      </c>
      <c r="CL51" s="12">
        <f t="shared" si="22"/>
        <v>0.39484815638014015</v>
      </c>
      <c r="CM51" s="12">
        <f t="shared" si="22"/>
        <v>0.39484815638014015</v>
      </c>
      <c r="CN51" s="12">
        <f t="shared" si="22"/>
        <v>0.39484815638014015</v>
      </c>
      <c r="CO51" s="12">
        <f t="shared" si="22"/>
        <v>0.39484815638014015</v>
      </c>
      <c r="CP51" s="12">
        <f t="shared" si="22"/>
        <v>0.39484815638014015</v>
      </c>
      <c r="CQ51" s="12">
        <f t="shared" si="22"/>
        <v>0.39484815638014015</v>
      </c>
      <c r="CR51" s="12">
        <f t="shared" si="22"/>
        <v>0.39484815638014015</v>
      </c>
      <c r="CS51" s="12">
        <f t="shared" si="22"/>
        <v>0.39484815638014015</v>
      </c>
      <c r="CT51" s="12">
        <f t="shared" si="22"/>
        <v>0.39484815638014015</v>
      </c>
      <c r="CU51" s="11">
        <f t="shared" si="22"/>
        <v>0.39484815638014015</v>
      </c>
      <c r="CW51" s="16"/>
      <c r="CX51" s="11">
        <f t="shared" si="15"/>
        <v>300</v>
      </c>
      <c r="CY51" s="12">
        <f t="shared" si="16"/>
        <v>193.44454151540529</v>
      </c>
      <c r="CZ51" s="12">
        <f t="shared" si="16"/>
        <v>173.20077052461778</v>
      </c>
      <c r="DA51" s="12">
        <f t="shared" si="16"/>
        <v>163.68843106055775</v>
      </c>
      <c r="DB51" s="12">
        <f t="shared" si="16"/>
        <v>155.82167714194904</v>
      </c>
      <c r="DC51" s="12">
        <f t="shared" si="16"/>
        <v>148.32418654793494</v>
      </c>
      <c r="DD51" s="12">
        <f t="shared" si="16"/>
        <v>141.04011181826999</v>
      </c>
      <c r="DE51" s="12">
        <f t="shared" si="16"/>
        <v>133.97730375540294</v>
      </c>
      <c r="DF51" s="12">
        <f t="shared" si="16"/>
        <v>127.16555025152201</v>
      </c>
      <c r="DG51" s="12">
        <f t="shared" si="16"/>
        <v>120.63520343872973</v>
      </c>
      <c r="DH51" s="12">
        <f t="shared" si="16"/>
        <v>114.4137053884088</v>
      </c>
      <c r="DI51" s="12">
        <f t="shared" si="16"/>
        <v>108.52480945516901</v>
      </c>
      <c r="DJ51" s="12">
        <f t="shared" si="16"/>
        <v>102.98824506412042</v>
      </c>
      <c r="DK51" s="12">
        <f t="shared" si="16"/>
        <v>97.819494265442046</v>
      </c>
      <c r="DL51" s="12">
        <f t="shared" si="16"/>
        <v>93.029632217098865</v>
      </c>
      <c r="DM51" s="12">
        <f t="shared" si="16"/>
        <v>88.625225012625975</v>
      </c>
      <c r="DN51" s="12">
        <f t="shared" si="16"/>
        <v>84.608283648313673</v>
      </c>
      <c r="DO51" s="12">
        <f t="shared" si="20"/>
        <v>80.976273050937309</v>
      </c>
      <c r="DP51" s="12">
        <f t="shared" si="20"/>
        <v>77.722174507935748</v>
      </c>
      <c r="DQ51" s="12">
        <f t="shared" si="20"/>
        <v>74.834599237527414</v>
      </c>
      <c r="DR51" s="12">
        <f t="shared" si="20"/>
        <v>72.29795031229223</v>
      </c>
      <c r="DS51" s="12">
        <f t="shared" si="20"/>
        <v>70.092629723050678</v>
      </c>
      <c r="DT51" s="12">
        <f t="shared" si="20"/>
        <v>68.195287040548621</v>
      </c>
      <c r="DU51" s="12">
        <f t="shared" si="20"/>
        <v>66.579105894969516</v>
      </c>
      <c r="DV51" s="12">
        <f t="shared" si="20"/>
        <v>65.214124338581485</v>
      </c>
      <c r="DW51" s="12">
        <f t="shared" si="20"/>
        <v>64.067585073222432</v>
      </c>
      <c r="DX51" s="12">
        <f t="shared" si="20"/>
        <v>63.104311498362371</v>
      </c>
      <c r="DY51" s="12">
        <f t="shared" si="20"/>
        <v>62.287105552704581</v>
      </c>
      <c r="DZ51" s="12">
        <f t="shared" si="20"/>
        <v>61.577163368070188</v>
      </c>
      <c r="EA51" s="11">
        <f t="shared" si="20"/>
        <v>60.93450481465274</v>
      </c>
    </row>
    <row r="52" spans="5:131" x14ac:dyDescent="0.3">
      <c r="E52" s="16"/>
      <c r="F52" s="11">
        <f t="shared" si="17"/>
        <v>300</v>
      </c>
      <c r="G52" s="12">
        <f t="shared" si="23"/>
        <v>287.20458331783192</v>
      </c>
      <c r="H52" s="12">
        <f t="shared" si="23"/>
        <v>274.47945650127753</v>
      </c>
      <c r="I52" s="12">
        <f t="shared" si="23"/>
        <v>261.89403216396988</v>
      </c>
      <c r="J52" s="12">
        <f t="shared" si="23"/>
        <v>249.51598121594662</v>
      </c>
      <c r="K52" s="12">
        <f t="shared" si="23"/>
        <v>237.41039374200534</v>
      </c>
      <c r="L52" s="12">
        <f t="shared" si="23"/>
        <v>225.6389772072514</v>
      </c>
      <c r="M52" s="12">
        <f t="shared" si="23"/>
        <v>214.25930321091454</v>
      </c>
      <c r="N52" s="12">
        <f t="shared" si="23"/>
        <v>203.32411301536513</v>
      </c>
      <c r="O52" s="12">
        <f t="shared" si="23"/>
        <v>192.88069089761242</v>
      </c>
      <c r="P52" s="12">
        <f t="shared" si="23"/>
        <v>182.97031304318864</v>
      </c>
      <c r="Q52" s="12">
        <f t="shared" si="23"/>
        <v>173.62777826859931</v>
      </c>
      <c r="R52" s="12">
        <f t="shared" si="23"/>
        <v>164.88102536165584</v>
      </c>
      <c r="S52" s="12">
        <f t="shared" si="23"/>
        <v>156.75084031219728</v>
      </c>
      <c r="T52" s="12">
        <f t="shared" si="23"/>
        <v>149.25065521040031</v>
      </c>
      <c r="U52" s="12">
        <f t="shared" si="23"/>
        <v>142.38643915412516</v>
      </c>
      <c r="V52" s="12">
        <f t="shared" si="23"/>
        <v>136.15668016384512</v>
      </c>
      <c r="W52" s="12">
        <f t="shared" si="21"/>
        <v>130.55245588106158</v>
      </c>
      <c r="X52" s="12">
        <f t="shared" si="21"/>
        <v>125.55758974443731</v>
      </c>
      <c r="Y52" s="12">
        <f t="shared" si="21"/>
        <v>121.14888841078474</v>
      </c>
      <c r="Z52" s="12">
        <f t="shared" si="21"/>
        <v>117.29645542188692</v>
      </c>
      <c r="AA52" s="12">
        <f t="shared" si="21"/>
        <v>113.96407551228974</v>
      </c>
      <c r="AB52" s="12">
        <f t="shared" si="21"/>
        <v>111.10966350062378</v>
      </c>
      <c r="AC52" s="12">
        <f t="shared" si="21"/>
        <v>108.68577139501528</v>
      </c>
      <c r="AD52" s="12">
        <f t="shared" si="21"/>
        <v>106.64014715446098</v>
      </c>
      <c r="AE52" s="12">
        <f t="shared" si="21"/>
        <v>104.91633846201012</v>
      </c>
      <c r="AF52" s="12">
        <f t="shared" si="21"/>
        <v>103.45433485945048</v>
      </c>
      <c r="AG52" s="12">
        <f t="shared" si="21"/>
        <v>102.19124164338535</v>
      </c>
      <c r="AH52" s="12">
        <f t="shared" si="21"/>
        <v>101.0619790060842</v>
      </c>
      <c r="AI52" s="11">
        <f t="shared" si="18"/>
        <v>100</v>
      </c>
      <c r="AK52" s="17"/>
      <c r="AL52" s="11">
        <f t="shared" si="13"/>
        <v>-1076400000</v>
      </c>
      <c r="AM52" s="12">
        <f t="shared" si="13"/>
        <v>-1030218121.5702678</v>
      </c>
      <c r="AN52" s="12">
        <f t="shared" si="13"/>
        <v>-984291836.91536975</v>
      </c>
      <c r="AO52" s="12">
        <f t="shared" si="13"/>
        <v>-938873542.71053839</v>
      </c>
      <c r="AP52" s="12">
        <f t="shared" si="13"/>
        <v>-894209288.40698302</v>
      </c>
      <c r="AQ52" s="12">
        <f t="shared" si="13"/>
        <v>-850535719.05097485</v>
      </c>
      <c r="AR52" s="12">
        <f t="shared" si="13"/>
        <v>-808077155.0354979</v>
      </c>
      <c r="AS52" s="12">
        <f t="shared" si="13"/>
        <v>-767042849.88903522</v>
      </c>
      <c r="AT52" s="12">
        <f t="shared" si="13"/>
        <v>-727624463.51336575</v>
      </c>
      <c r="AU52" s="12">
        <f t="shared" si="13"/>
        <v>-689993783.90351927</v>
      </c>
      <c r="AV52" s="12">
        <f t="shared" si="13"/>
        <v>-654300725.46031308</v>
      </c>
      <c r="AW52" s="12">
        <f t="shared" si="13"/>
        <v>-620671626.69455957</v>
      </c>
      <c r="AX52" s="12">
        <f t="shared" si="13"/>
        <v>-589207864.58415508</v>
      </c>
      <c r="AY52" s="12">
        <f t="shared" si="13"/>
        <v>-559984797.24264038</v>
      </c>
      <c r="AZ52" s="12">
        <f t="shared" si="13"/>
        <v>-533051041.04541069</v>
      </c>
      <c r="BA52" s="12">
        <f t="shared" si="13"/>
        <v>-508428083.07949233</v>
      </c>
      <c r="BB52" s="12">
        <f t="shared" si="19"/>
        <v>-486110224.85845542</v>
      </c>
      <c r="BC52" s="12">
        <f t="shared" si="19"/>
        <v>-466064848.77701718</v>
      </c>
      <c r="BD52" s="12">
        <f t="shared" si="19"/>
        <v>-448232994.84626472</v>
      </c>
      <c r="BE52" s="12">
        <f t="shared" si="19"/>
        <v>-432530231.89937735</v>
      </c>
      <c r="BF52" s="12">
        <f t="shared" si="19"/>
        <v>-418847804.71114779</v>
      </c>
      <c r="BG52" s="12">
        <f t="shared" si="19"/>
        <v>-407054036.32815892</v>
      </c>
      <c r="BH52" s="12">
        <f t="shared" si="19"/>
        <v>-396995963.33166426</v>
      </c>
      <c r="BI52" s="12">
        <f t="shared" si="19"/>
        <v>-388501180.70256615</v>
      </c>
      <c r="BJ52" s="12">
        <f t="shared" si="19"/>
        <v>-381379872.36081296</v>
      </c>
      <c r="BK52" s="12">
        <f t="shared" si="19"/>
        <v>-375427003.23093915</v>
      </c>
      <c r="BL52" s="12">
        <f t="shared" si="19"/>
        <v>-370424648.75451571</v>
      </c>
      <c r="BM52" s="12">
        <f t="shared" si="19"/>
        <v>-366144438.03946042</v>
      </c>
      <c r="BN52" s="12">
        <f t="shared" si="19"/>
        <v>-362350087.21810418</v>
      </c>
      <c r="BO52" s="11">
        <f t="shared" si="19"/>
        <v>-358800000</v>
      </c>
      <c r="BQ52" s="16"/>
      <c r="BR52" s="11">
        <v>0</v>
      </c>
      <c r="BS52" s="12">
        <f t="shared" si="24"/>
        <v>0.3415922014622258</v>
      </c>
      <c r="BT52" s="12">
        <f t="shared" si="24"/>
        <v>0.3867162803971414</v>
      </c>
      <c r="BU52" s="12">
        <f t="shared" si="24"/>
        <v>0.39358441341045353</v>
      </c>
      <c r="BV52" s="12">
        <f t="shared" si="24"/>
        <v>0.39465123071155611</v>
      </c>
      <c r="BW52" s="12">
        <f t="shared" si="24"/>
        <v>0.39481745705771337</v>
      </c>
      <c r="BX52" s="12">
        <f t="shared" si="24"/>
        <v>0.39484337025824801</v>
      </c>
      <c r="BY52" s="12">
        <f t="shared" si="24"/>
        <v>0.39484741020089792</v>
      </c>
      <c r="BZ52" s="12">
        <f t="shared" si="24"/>
        <v>0.39484804004704999</v>
      </c>
      <c r="CA52" s="12">
        <f t="shared" si="24"/>
        <v>0.39484813824322279</v>
      </c>
      <c r="CB52" s="12">
        <f t="shared" si="24"/>
        <v>0.39484815355250286</v>
      </c>
      <c r="CC52" s="12">
        <f t="shared" si="24"/>
        <v>0.39484815593929717</v>
      </c>
      <c r="CD52" s="12">
        <f t="shared" si="24"/>
        <v>0.39484815631141046</v>
      </c>
      <c r="CE52" s="12">
        <f t="shared" si="24"/>
        <v>0.39484815636942483</v>
      </c>
      <c r="CF52" s="12">
        <f t="shared" si="24"/>
        <v>0.39484815637846954</v>
      </c>
      <c r="CG52" s="12">
        <f t="shared" si="24"/>
        <v>0.39484815637987963</v>
      </c>
      <c r="CH52" s="12">
        <f t="shared" si="24"/>
        <v>0.39484815638009951</v>
      </c>
      <c r="CI52" s="12">
        <f t="shared" si="22"/>
        <v>0.39484815638013382</v>
      </c>
      <c r="CJ52" s="12">
        <f t="shared" si="22"/>
        <v>0.39484815638013915</v>
      </c>
      <c r="CK52" s="12">
        <f t="shared" si="22"/>
        <v>0.39484815638013998</v>
      </c>
      <c r="CL52" s="12">
        <f t="shared" si="22"/>
        <v>0.39484815638014015</v>
      </c>
      <c r="CM52" s="12">
        <f t="shared" si="22"/>
        <v>0.39484815638014015</v>
      </c>
      <c r="CN52" s="12">
        <f t="shared" si="22"/>
        <v>0.39484815638014015</v>
      </c>
      <c r="CO52" s="12">
        <f t="shared" si="22"/>
        <v>0.39484815638014015</v>
      </c>
      <c r="CP52" s="12">
        <f t="shared" si="22"/>
        <v>0.39484815638014015</v>
      </c>
      <c r="CQ52" s="12">
        <f t="shared" si="22"/>
        <v>0.39484815638014015</v>
      </c>
      <c r="CR52" s="12">
        <f t="shared" si="22"/>
        <v>0.39484815638014015</v>
      </c>
      <c r="CS52" s="12">
        <f t="shared" si="22"/>
        <v>0.39484815638014015</v>
      </c>
      <c r="CT52" s="12">
        <f t="shared" si="22"/>
        <v>0.39484815638014015</v>
      </c>
      <c r="CU52" s="11">
        <f t="shared" si="22"/>
        <v>0.39484815638014015</v>
      </c>
      <c r="CW52" s="16"/>
      <c r="CX52" s="11">
        <f t="shared" si="15"/>
        <v>300</v>
      </c>
      <c r="CY52" s="12">
        <f t="shared" si="16"/>
        <v>193.44454151540529</v>
      </c>
      <c r="CZ52" s="12">
        <f t="shared" si="16"/>
        <v>173.20077052461778</v>
      </c>
      <c r="DA52" s="12">
        <f t="shared" si="16"/>
        <v>163.6884310605578</v>
      </c>
      <c r="DB52" s="12">
        <f t="shared" si="16"/>
        <v>155.8216771419491</v>
      </c>
      <c r="DC52" s="12">
        <f t="shared" si="16"/>
        <v>148.324186547935</v>
      </c>
      <c r="DD52" s="12">
        <f t="shared" si="16"/>
        <v>141.04011181827005</v>
      </c>
      <c r="DE52" s="12">
        <f t="shared" si="16"/>
        <v>133.97730375540294</v>
      </c>
      <c r="DF52" s="12">
        <f t="shared" si="16"/>
        <v>127.16555025152201</v>
      </c>
      <c r="DG52" s="12">
        <f t="shared" si="16"/>
        <v>120.63520343872973</v>
      </c>
      <c r="DH52" s="12">
        <f t="shared" si="16"/>
        <v>114.4137053884088</v>
      </c>
      <c r="DI52" s="12">
        <f t="shared" si="16"/>
        <v>108.52480945516902</v>
      </c>
      <c r="DJ52" s="12">
        <f t="shared" si="16"/>
        <v>102.98824506412043</v>
      </c>
      <c r="DK52" s="12">
        <f t="shared" si="16"/>
        <v>97.819494265442046</v>
      </c>
      <c r="DL52" s="12">
        <f t="shared" si="16"/>
        <v>93.029632217098865</v>
      </c>
      <c r="DM52" s="12">
        <f t="shared" si="16"/>
        <v>88.625225012625975</v>
      </c>
      <c r="DN52" s="12">
        <f t="shared" si="16"/>
        <v>84.608283648313673</v>
      </c>
      <c r="DO52" s="12">
        <f t="shared" si="20"/>
        <v>80.976273050937309</v>
      </c>
      <c r="DP52" s="12">
        <f t="shared" si="20"/>
        <v>77.722174507935748</v>
      </c>
      <c r="DQ52" s="12">
        <f t="shared" si="20"/>
        <v>74.834599237527414</v>
      </c>
      <c r="DR52" s="12">
        <f t="shared" si="20"/>
        <v>72.29795031229223</v>
      </c>
      <c r="DS52" s="12">
        <f t="shared" si="20"/>
        <v>70.092629723050692</v>
      </c>
      <c r="DT52" s="12">
        <f t="shared" si="20"/>
        <v>68.195287040548635</v>
      </c>
      <c r="DU52" s="12">
        <f t="shared" si="20"/>
        <v>66.579105894969516</v>
      </c>
      <c r="DV52" s="12">
        <f t="shared" si="20"/>
        <v>65.214124338581485</v>
      </c>
      <c r="DW52" s="12">
        <f t="shared" si="20"/>
        <v>64.067585073222432</v>
      </c>
      <c r="DX52" s="12">
        <f t="shared" si="20"/>
        <v>63.104311498362371</v>
      </c>
      <c r="DY52" s="12">
        <f t="shared" si="20"/>
        <v>62.287105552704581</v>
      </c>
      <c r="DZ52" s="12">
        <f t="shared" si="20"/>
        <v>61.577163368070188</v>
      </c>
      <c r="EA52" s="11">
        <f t="shared" si="20"/>
        <v>60.93450481465274</v>
      </c>
    </row>
    <row r="53" spans="5:131" x14ac:dyDescent="0.3">
      <c r="E53" s="16"/>
      <c r="F53" s="11">
        <f t="shared" si="17"/>
        <v>300</v>
      </c>
      <c r="G53" s="12">
        <f t="shared" si="23"/>
        <v>287.20458331783192</v>
      </c>
      <c r="H53" s="12">
        <f t="shared" si="23"/>
        <v>274.47945650127753</v>
      </c>
      <c r="I53" s="12">
        <f t="shared" si="23"/>
        <v>261.89403216396988</v>
      </c>
      <c r="J53" s="12">
        <f t="shared" si="23"/>
        <v>249.51598121594657</v>
      </c>
      <c r="K53" s="12">
        <f t="shared" si="23"/>
        <v>237.41039374200531</v>
      </c>
      <c r="L53" s="12">
        <f t="shared" si="23"/>
        <v>225.6389772072514</v>
      </c>
      <c r="M53" s="12">
        <f t="shared" si="23"/>
        <v>214.25930321091454</v>
      </c>
      <c r="N53" s="12">
        <f t="shared" si="23"/>
        <v>203.32411301536513</v>
      </c>
      <c r="O53" s="12">
        <f t="shared" si="23"/>
        <v>192.88069089761242</v>
      </c>
      <c r="P53" s="12">
        <f t="shared" si="23"/>
        <v>182.97031304318864</v>
      </c>
      <c r="Q53" s="12">
        <f t="shared" si="23"/>
        <v>173.62777826859931</v>
      </c>
      <c r="R53" s="12">
        <f t="shared" si="23"/>
        <v>164.88102536165584</v>
      </c>
      <c r="S53" s="12">
        <f t="shared" si="23"/>
        <v>156.75084031219728</v>
      </c>
      <c r="T53" s="12">
        <f t="shared" si="23"/>
        <v>149.25065521040031</v>
      </c>
      <c r="U53" s="12">
        <f t="shared" si="23"/>
        <v>142.38643915412516</v>
      </c>
      <c r="V53" s="12">
        <f t="shared" si="23"/>
        <v>136.15668016384512</v>
      </c>
      <c r="W53" s="12">
        <f t="shared" si="21"/>
        <v>130.55245588106158</v>
      </c>
      <c r="X53" s="12">
        <f t="shared" si="21"/>
        <v>125.55758974443731</v>
      </c>
      <c r="Y53" s="12">
        <f t="shared" si="21"/>
        <v>121.14888841078474</v>
      </c>
      <c r="Z53" s="12">
        <f t="shared" si="21"/>
        <v>117.2964554218869</v>
      </c>
      <c r="AA53" s="12">
        <f t="shared" si="21"/>
        <v>113.96407551228972</v>
      </c>
      <c r="AB53" s="12">
        <f t="shared" si="21"/>
        <v>111.10966350062378</v>
      </c>
      <c r="AC53" s="12">
        <f t="shared" si="21"/>
        <v>108.68577139501528</v>
      </c>
      <c r="AD53" s="12">
        <f t="shared" si="21"/>
        <v>106.64014715446098</v>
      </c>
      <c r="AE53" s="12">
        <f t="shared" si="21"/>
        <v>104.91633846201012</v>
      </c>
      <c r="AF53" s="12">
        <f t="shared" si="21"/>
        <v>103.45433485945048</v>
      </c>
      <c r="AG53" s="12">
        <f t="shared" si="21"/>
        <v>102.19124164338535</v>
      </c>
      <c r="AH53" s="12">
        <f t="shared" si="21"/>
        <v>101.06197900608419</v>
      </c>
      <c r="AI53" s="11">
        <f t="shared" si="18"/>
        <v>100</v>
      </c>
      <c r="AK53" s="17"/>
      <c r="AL53" s="11">
        <f t="shared" si="13"/>
        <v>-1076400000</v>
      </c>
      <c r="AM53" s="12">
        <f t="shared" si="13"/>
        <v>-1030218121.5702678</v>
      </c>
      <c r="AN53" s="12">
        <f t="shared" si="13"/>
        <v>-984291836.91536975</v>
      </c>
      <c r="AO53" s="12">
        <f t="shared" si="13"/>
        <v>-938873542.71053863</v>
      </c>
      <c r="AP53" s="12">
        <f t="shared" si="13"/>
        <v>-894209288.4069829</v>
      </c>
      <c r="AQ53" s="12">
        <f t="shared" si="13"/>
        <v>-850535719.05097485</v>
      </c>
      <c r="AR53" s="12">
        <f t="shared" si="13"/>
        <v>-808077155.0354979</v>
      </c>
      <c r="AS53" s="12">
        <f t="shared" si="13"/>
        <v>-767042849.88903522</v>
      </c>
      <c r="AT53" s="12">
        <f t="shared" si="13"/>
        <v>-727624463.51336575</v>
      </c>
      <c r="AU53" s="12">
        <f t="shared" si="13"/>
        <v>-689993783.90351927</v>
      </c>
      <c r="AV53" s="12">
        <f t="shared" si="13"/>
        <v>-654300725.46031308</v>
      </c>
      <c r="AW53" s="12">
        <f t="shared" si="13"/>
        <v>-620671626.69455957</v>
      </c>
      <c r="AX53" s="12">
        <f t="shared" si="13"/>
        <v>-589207864.58415508</v>
      </c>
      <c r="AY53" s="12">
        <f t="shared" si="13"/>
        <v>-559984797.24264038</v>
      </c>
      <c r="AZ53" s="12">
        <f t="shared" si="13"/>
        <v>-533051041.04541069</v>
      </c>
      <c r="BA53" s="12">
        <f t="shared" si="13"/>
        <v>-508428083.07949233</v>
      </c>
      <c r="BB53" s="12">
        <f t="shared" si="19"/>
        <v>-486110224.85845542</v>
      </c>
      <c r="BC53" s="12">
        <f t="shared" si="19"/>
        <v>-466064848.77701706</v>
      </c>
      <c r="BD53" s="12">
        <f t="shared" si="19"/>
        <v>-448232994.84626472</v>
      </c>
      <c r="BE53" s="12">
        <f t="shared" si="19"/>
        <v>-432530231.89937735</v>
      </c>
      <c r="BF53" s="12">
        <f t="shared" si="19"/>
        <v>-418847804.71114773</v>
      </c>
      <c r="BG53" s="12">
        <f t="shared" si="19"/>
        <v>-407054036.32815886</v>
      </c>
      <c r="BH53" s="12">
        <f t="shared" si="19"/>
        <v>-396995963.33166426</v>
      </c>
      <c r="BI53" s="12">
        <f t="shared" si="19"/>
        <v>-388501180.70256615</v>
      </c>
      <c r="BJ53" s="12">
        <f t="shared" si="19"/>
        <v>-381379872.3608129</v>
      </c>
      <c r="BK53" s="12">
        <f t="shared" si="19"/>
        <v>-375427003.23093909</v>
      </c>
      <c r="BL53" s="12">
        <f t="shared" si="19"/>
        <v>-370424648.75451565</v>
      </c>
      <c r="BM53" s="12">
        <f t="shared" si="19"/>
        <v>-366144438.03946036</v>
      </c>
      <c r="BN53" s="12">
        <f t="shared" si="19"/>
        <v>-362350087.21810418</v>
      </c>
      <c r="BO53" s="11">
        <f t="shared" si="19"/>
        <v>-358800000</v>
      </c>
      <c r="BQ53" s="16"/>
      <c r="BR53" s="11">
        <v>0</v>
      </c>
      <c r="BS53" s="12">
        <f t="shared" si="24"/>
        <v>0.3415922014622258</v>
      </c>
      <c r="BT53" s="12">
        <f t="shared" si="24"/>
        <v>0.3867162803971414</v>
      </c>
      <c r="BU53" s="12">
        <f t="shared" si="24"/>
        <v>0.39358441341045353</v>
      </c>
      <c r="BV53" s="12">
        <f t="shared" si="24"/>
        <v>0.39465123071155611</v>
      </c>
      <c r="BW53" s="12">
        <f t="shared" si="24"/>
        <v>0.39481745705771337</v>
      </c>
      <c r="BX53" s="12">
        <f t="shared" si="24"/>
        <v>0.39484337025824801</v>
      </c>
      <c r="BY53" s="12">
        <f t="shared" si="24"/>
        <v>0.39484741020089792</v>
      </c>
      <c r="BZ53" s="12">
        <f t="shared" si="24"/>
        <v>0.39484804004704999</v>
      </c>
      <c r="CA53" s="12">
        <f t="shared" si="24"/>
        <v>0.39484813824322279</v>
      </c>
      <c r="CB53" s="12">
        <f t="shared" si="24"/>
        <v>0.39484815355250286</v>
      </c>
      <c r="CC53" s="12">
        <f t="shared" si="24"/>
        <v>0.39484815593929717</v>
      </c>
      <c r="CD53" s="12">
        <f t="shared" si="24"/>
        <v>0.39484815631141046</v>
      </c>
      <c r="CE53" s="12">
        <f t="shared" si="24"/>
        <v>0.39484815636942483</v>
      </c>
      <c r="CF53" s="12">
        <f t="shared" si="24"/>
        <v>0.39484815637846954</v>
      </c>
      <c r="CG53" s="12">
        <f t="shared" si="24"/>
        <v>0.39484815637987963</v>
      </c>
      <c r="CH53" s="12">
        <f t="shared" si="24"/>
        <v>0.39484815638009951</v>
      </c>
      <c r="CI53" s="12">
        <f t="shared" si="22"/>
        <v>0.39484815638013382</v>
      </c>
      <c r="CJ53" s="12">
        <f t="shared" si="22"/>
        <v>0.39484815638013915</v>
      </c>
      <c r="CK53" s="12">
        <f t="shared" si="22"/>
        <v>0.39484815638013998</v>
      </c>
      <c r="CL53" s="12">
        <f t="shared" si="22"/>
        <v>0.39484815638014015</v>
      </c>
      <c r="CM53" s="12">
        <f t="shared" si="22"/>
        <v>0.39484815638014015</v>
      </c>
      <c r="CN53" s="12">
        <f t="shared" si="22"/>
        <v>0.39484815638014015</v>
      </c>
      <c r="CO53" s="12">
        <f t="shared" si="22"/>
        <v>0.39484815638014015</v>
      </c>
      <c r="CP53" s="12">
        <f t="shared" si="22"/>
        <v>0.39484815638014015</v>
      </c>
      <c r="CQ53" s="12">
        <f t="shared" si="22"/>
        <v>0.39484815638014015</v>
      </c>
      <c r="CR53" s="12">
        <f t="shared" si="22"/>
        <v>0.39484815638014015</v>
      </c>
      <c r="CS53" s="12">
        <f t="shared" si="22"/>
        <v>0.39484815638014015</v>
      </c>
      <c r="CT53" s="12">
        <f t="shared" si="22"/>
        <v>0.39484815638014015</v>
      </c>
      <c r="CU53" s="11">
        <f t="shared" si="22"/>
        <v>0.39484815638014015</v>
      </c>
      <c r="CW53" s="16"/>
      <c r="CX53" s="11">
        <f t="shared" si="15"/>
        <v>300</v>
      </c>
      <c r="CY53" s="12">
        <f t="shared" si="16"/>
        <v>193.44454151540529</v>
      </c>
      <c r="CZ53" s="12">
        <f t="shared" si="16"/>
        <v>173.20077052461778</v>
      </c>
      <c r="DA53" s="12">
        <f t="shared" si="16"/>
        <v>163.6884310605578</v>
      </c>
      <c r="DB53" s="12">
        <f t="shared" si="16"/>
        <v>155.82167714194907</v>
      </c>
      <c r="DC53" s="12">
        <f t="shared" si="16"/>
        <v>148.32418654793497</v>
      </c>
      <c r="DD53" s="12">
        <f t="shared" si="16"/>
        <v>141.04011181827005</v>
      </c>
      <c r="DE53" s="12">
        <f t="shared" si="16"/>
        <v>133.97730375540294</v>
      </c>
      <c r="DF53" s="12">
        <f t="shared" si="16"/>
        <v>127.16555025152201</v>
      </c>
      <c r="DG53" s="12">
        <f t="shared" si="16"/>
        <v>120.63520343872973</v>
      </c>
      <c r="DH53" s="12">
        <f t="shared" si="16"/>
        <v>114.4137053884088</v>
      </c>
      <c r="DI53" s="12">
        <f t="shared" si="16"/>
        <v>108.52480945516902</v>
      </c>
      <c r="DJ53" s="12">
        <f t="shared" si="16"/>
        <v>102.98824506412043</v>
      </c>
      <c r="DK53" s="12">
        <f t="shared" si="16"/>
        <v>97.819494265442046</v>
      </c>
      <c r="DL53" s="12">
        <f t="shared" si="16"/>
        <v>93.029632217098865</v>
      </c>
      <c r="DM53" s="12">
        <f t="shared" si="16"/>
        <v>88.625225012625975</v>
      </c>
      <c r="DN53" s="12">
        <f t="shared" si="16"/>
        <v>84.608283648313673</v>
      </c>
      <c r="DO53" s="12">
        <f t="shared" si="20"/>
        <v>80.976273050937309</v>
      </c>
      <c r="DP53" s="12">
        <f t="shared" si="20"/>
        <v>77.722174507935748</v>
      </c>
      <c r="DQ53" s="12">
        <f t="shared" si="20"/>
        <v>74.834599237527414</v>
      </c>
      <c r="DR53" s="12">
        <f t="shared" si="20"/>
        <v>72.29795031229223</v>
      </c>
      <c r="DS53" s="12">
        <f t="shared" si="20"/>
        <v>70.092629723050678</v>
      </c>
      <c r="DT53" s="12">
        <f t="shared" si="20"/>
        <v>68.195287040548621</v>
      </c>
      <c r="DU53" s="12">
        <f t="shared" si="20"/>
        <v>66.579105894969516</v>
      </c>
      <c r="DV53" s="12">
        <f t="shared" si="20"/>
        <v>65.214124338581485</v>
      </c>
      <c r="DW53" s="12">
        <f t="shared" si="20"/>
        <v>64.067585073222418</v>
      </c>
      <c r="DX53" s="12">
        <f t="shared" si="20"/>
        <v>63.104311498362364</v>
      </c>
      <c r="DY53" s="12">
        <f t="shared" si="20"/>
        <v>62.287105552704574</v>
      </c>
      <c r="DZ53" s="12">
        <f t="shared" si="20"/>
        <v>61.577163368070174</v>
      </c>
      <c r="EA53" s="11">
        <f t="shared" si="20"/>
        <v>60.93450481465274</v>
      </c>
    </row>
    <row r="54" spans="5:131" x14ac:dyDescent="0.3">
      <c r="E54" s="16"/>
      <c r="F54" s="11">
        <f t="shared" si="17"/>
        <v>300</v>
      </c>
      <c r="G54" s="12">
        <f t="shared" si="23"/>
        <v>287.20458331783192</v>
      </c>
      <c r="H54" s="12">
        <f t="shared" si="23"/>
        <v>274.47945650127747</v>
      </c>
      <c r="I54" s="12">
        <f t="shared" si="23"/>
        <v>261.89403216396983</v>
      </c>
      <c r="J54" s="12">
        <f t="shared" si="23"/>
        <v>249.51598121594657</v>
      </c>
      <c r="K54" s="12">
        <f t="shared" si="23"/>
        <v>237.41039374200528</v>
      </c>
      <c r="L54" s="12">
        <f t="shared" si="23"/>
        <v>225.63897720725134</v>
      </c>
      <c r="M54" s="12">
        <f t="shared" si="23"/>
        <v>214.25930321091451</v>
      </c>
      <c r="N54" s="12">
        <f t="shared" si="23"/>
        <v>203.32411301536513</v>
      </c>
      <c r="O54" s="12">
        <f t="shared" si="23"/>
        <v>192.88069089761242</v>
      </c>
      <c r="P54" s="12">
        <f t="shared" si="23"/>
        <v>182.97031304318861</v>
      </c>
      <c r="Q54" s="12">
        <f t="shared" si="23"/>
        <v>173.62777826859929</v>
      </c>
      <c r="R54" s="12">
        <f t="shared" si="23"/>
        <v>164.88102536165582</v>
      </c>
      <c r="S54" s="12">
        <f t="shared" si="23"/>
        <v>156.75084031219728</v>
      </c>
      <c r="T54" s="12">
        <f t="shared" si="23"/>
        <v>149.25065521040028</v>
      </c>
      <c r="U54" s="12">
        <f t="shared" si="23"/>
        <v>142.38643915412513</v>
      </c>
      <c r="V54" s="12">
        <f t="shared" si="23"/>
        <v>136.15668016384507</v>
      </c>
      <c r="W54" s="12">
        <f t="shared" si="21"/>
        <v>130.55245588106152</v>
      </c>
      <c r="X54" s="12">
        <f t="shared" si="21"/>
        <v>125.55758974443727</v>
      </c>
      <c r="Y54" s="12">
        <f t="shared" si="21"/>
        <v>121.14888841078471</v>
      </c>
      <c r="Z54" s="12">
        <f t="shared" si="21"/>
        <v>117.29645542188689</v>
      </c>
      <c r="AA54" s="12">
        <f t="shared" si="21"/>
        <v>113.96407551228972</v>
      </c>
      <c r="AB54" s="12">
        <f t="shared" si="21"/>
        <v>111.10966350062375</v>
      </c>
      <c r="AC54" s="12">
        <f t="shared" si="21"/>
        <v>108.68577139501525</v>
      </c>
      <c r="AD54" s="12">
        <f t="shared" si="21"/>
        <v>106.64014715446095</v>
      </c>
      <c r="AE54" s="12">
        <f t="shared" si="21"/>
        <v>104.91633846201009</v>
      </c>
      <c r="AF54" s="12">
        <f t="shared" si="21"/>
        <v>103.45433485945046</v>
      </c>
      <c r="AG54" s="12">
        <f t="shared" si="21"/>
        <v>102.19124164338535</v>
      </c>
      <c r="AH54" s="12">
        <f t="shared" si="21"/>
        <v>101.06197900608419</v>
      </c>
      <c r="AI54" s="11">
        <f t="shared" si="18"/>
        <v>100</v>
      </c>
      <c r="AK54" s="17"/>
      <c r="AL54" s="11">
        <f t="shared" si="13"/>
        <v>-1076400000</v>
      </c>
      <c r="AM54" s="12">
        <f t="shared" si="13"/>
        <v>-1030218121.5702678</v>
      </c>
      <c r="AN54" s="12">
        <f t="shared" si="13"/>
        <v>-984291836.91536951</v>
      </c>
      <c r="AO54" s="12">
        <f t="shared" si="13"/>
        <v>-938873542.71053839</v>
      </c>
      <c r="AP54" s="12">
        <f t="shared" si="13"/>
        <v>-894209288.40698278</v>
      </c>
      <c r="AQ54" s="12">
        <f t="shared" si="13"/>
        <v>-850535719.05097461</v>
      </c>
      <c r="AR54" s="12">
        <f t="shared" si="13"/>
        <v>-808077155.03549767</v>
      </c>
      <c r="AS54" s="12">
        <f t="shared" si="13"/>
        <v>-767042849.88903499</v>
      </c>
      <c r="AT54" s="12">
        <f t="shared" si="13"/>
        <v>-727624463.51336575</v>
      </c>
      <c r="AU54" s="12">
        <f t="shared" si="13"/>
        <v>-689993783.90351915</v>
      </c>
      <c r="AV54" s="12">
        <f t="shared" si="13"/>
        <v>-654300725.46031284</v>
      </c>
      <c r="AW54" s="12">
        <f t="shared" si="13"/>
        <v>-620671626.69455945</v>
      </c>
      <c r="AX54" s="12">
        <f t="shared" si="13"/>
        <v>-589207864.58415508</v>
      </c>
      <c r="AY54" s="12">
        <f t="shared" si="13"/>
        <v>-559984797.24264026</v>
      </c>
      <c r="AZ54" s="12">
        <f t="shared" si="13"/>
        <v>-533051041.04541057</v>
      </c>
      <c r="BA54" s="12">
        <f t="shared" si="13"/>
        <v>-508428083.07949227</v>
      </c>
      <c r="BB54" s="12">
        <f t="shared" si="19"/>
        <v>-486110224.85845524</v>
      </c>
      <c r="BC54" s="12">
        <f t="shared" si="19"/>
        <v>-466064848.777017</v>
      </c>
      <c r="BD54" s="12">
        <f t="shared" si="19"/>
        <v>-448232994.84626454</v>
      </c>
      <c r="BE54" s="12">
        <f t="shared" si="19"/>
        <v>-432530231.89937723</v>
      </c>
      <c r="BF54" s="12">
        <f t="shared" si="19"/>
        <v>-418847804.71114761</v>
      </c>
      <c r="BG54" s="12">
        <f t="shared" si="19"/>
        <v>-407054036.3281588</v>
      </c>
      <c r="BH54" s="12">
        <f t="shared" si="19"/>
        <v>-396995963.3316642</v>
      </c>
      <c r="BI54" s="12">
        <f t="shared" si="19"/>
        <v>-388501180.70256603</v>
      </c>
      <c r="BJ54" s="12">
        <f t="shared" si="19"/>
        <v>-381379872.36081284</v>
      </c>
      <c r="BK54" s="12">
        <f t="shared" si="19"/>
        <v>-375427003.23093897</v>
      </c>
      <c r="BL54" s="12">
        <f t="shared" si="19"/>
        <v>-370424648.75451559</v>
      </c>
      <c r="BM54" s="12">
        <f t="shared" si="19"/>
        <v>-366144438.03946036</v>
      </c>
      <c r="BN54" s="12">
        <f t="shared" si="19"/>
        <v>-362350087.21810418</v>
      </c>
      <c r="BO54" s="11">
        <f t="shared" si="19"/>
        <v>-358800000</v>
      </c>
      <c r="BQ54" s="16"/>
      <c r="BR54" s="11">
        <v>0</v>
      </c>
      <c r="BS54" s="12">
        <f t="shared" si="24"/>
        <v>0.3415922014622258</v>
      </c>
      <c r="BT54" s="12">
        <f t="shared" si="24"/>
        <v>0.3867162803971414</v>
      </c>
      <c r="BU54" s="12">
        <f t="shared" si="24"/>
        <v>0.39358441341045353</v>
      </c>
      <c r="BV54" s="12">
        <f t="shared" si="24"/>
        <v>0.39465123071155611</v>
      </c>
      <c r="BW54" s="12">
        <f t="shared" si="24"/>
        <v>0.39481745705771337</v>
      </c>
      <c r="BX54" s="12">
        <f t="shared" si="24"/>
        <v>0.39484337025824801</v>
      </c>
      <c r="BY54" s="12">
        <f t="shared" si="24"/>
        <v>0.39484741020089792</v>
      </c>
      <c r="BZ54" s="12">
        <f t="shared" si="24"/>
        <v>0.39484804004704999</v>
      </c>
      <c r="CA54" s="12">
        <f t="shared" si="24"/>
        <v>0.39484813824322279</v>
      </c>
      <c r="CB54" s="12">
        <f t="shared" si="24"/>
        <v>0.39484815355250286</v>
      </c>
      <c r="CC54" s="12">
        <f t="shared" si="24"/>
        <v>0.39484815593929717</v>
      </c>
      <c r="CD54" s="12">
        <f t="shared" si="24"/>
        <v>0.39484815631141046</v>
      </c>
      <c r="CE54" s="12">
        <f t="shared" si="24"/>
        <v>0.39484815636942483</v>
      </c>
      <c r="CF54" s="12">
        <f t="shared" si="24"/>
        <v>0.39484815637846954</v>
      </c>
      <c r="CG54" s="12">
        <f t="shared" si="24"/>
        <v>0.39484815637987963</v>
      </c>
      <c r="CH54" s="12">
        <f t="shared" si="24"/>
        <v>0.39484815638009951</v>
      </c>
      <c r="CI54" s="12">
        <f t="shared" si="22"/>
        <v>0.39484815638013382</v>
      </c>
      <c r="CJ54" s="12">
        <f t="shared" si="22"/>
        <v>0.39484815638013915</v>
      </c>
      <c r="CK54" s="12">
        <f t="shared" si="22"/>
        <v>0.39484815638013998</v>
      </c>
      <c r="CL54" s="12">
        <f t="shared" si="22"/>
        <v>0.39484815638014015</v>
      </c>
      <c r="CM54" s="12">
        <f t="shared" si="22"/>
        <v>0.39484815638014015</v>
      </c>
      <c r="CN54" s="12">
        <f t="shared" si="22"/>
        <v>0.39484815638014015</v>
      </c>
      <c r="CO54" s="12">
        <f t="shared" si="22"/>
        <v>0.39484815638014015</v>
      </c>
      <c r="CP54" s="12">
        <f t="shared" si="22"/>
        <v>0.39484815638014015</v>
      </c>
      <c r="CQ54" s="12">
        <f t="shared" si="22"/>
        <v>0.39484815638014015</v>
      </c>
      <c r="CR54" s="12">
        <f t="shared" si="22"/>
        <v>0.39484815638014015</v>
      </c>
      <c r="CS54" s="12">
        <f t="shared" si="22"/>
        <v>0.39484815638014015</v>
      </c>
      <c r="CT54" s="12">
        <f t="shared" si="22"/>
        <v>0.39484815638014015</v>
      </c>
      <c r="CU54" s="11">
        <f t="shared" si="22"/>
        <v>0.39484815638014015</v>
      </c>
      <c r="CW54" s="16"/>
      <c r="CX54" s="11">
        <f t="shared" si="15"/>
        <v>300</v>
      </c>
      <c r="CY54" s="12">
        <f t="shared" si="16"/>
        <v>193.44454151540529</v>
      </c>
      <c r="CZ54" s="12">
        <f t="shared" si="16"/>
        <v>173.20077052461775</v>
      </c>
      <c r="DA54" s="12">
        <f t="shared" si="16"/>
        <v>163.68843106055778</v>
      </c>
      <c r="DB54" s="12">
        <f t="shared" si="16"/>
        <v>155.82167714194907</v>
      </c>
      <c r="DC54" s="12">
        <f t="shared" si="16"/>
        <v>148.32418654793494</v>
      </c>
      <c r="DD54" s="12">
        <f t="shared" si="16"/>
        <v>141.04011181826999</v>
      </c>
      <c r="DE54" s="12">
        <f t="shared" si="16"/>
        <v>133.97730375540291</v>
      </c>
      <c r="DF54" s="12">
        <f t="shared" si="16"/>
        <v>127.16555025152201</v>
      </c>
      <c r="DG54" s="12">
        <f t="shared" si="16"/>
        <v>120.63520343872973</v>
      </c>
      <c r="DH54" s="12">
        <f t="shared" si="16"/>
        <v>114.4137053884088</v>
      </c>
      <c r="DI54" s="12">
        <f t="shared" si="16"/>
        <v>108.52480945516901</v>
      </c>
      <c r="DJ54" s="12">
        <f t="shared" si="16"/>
        <v>102.98824506412042</v>
      </c>
      <c r="DK54" s="12">
        <f t="shared" si="16"/>
        <v>97.819494265442032</v>
      </c>
      <c r="DL54" s="12">
        <f t="shared" si="16"/>
        <v>93.02963221709885</v>
      </c>
      <c r="DM54" s="12">
        <f t="shared" si="16"/>
        <v>88.625225012625961</v>
      </c>
      <c r="DN54" s="12">
        <f t="shared" si="16"/>
        <v>84.608283648313645</v>
      </c>
      <c r="DO54" s="12">
        <f t="shared" si="20"/>
        <v>80.97627305093728</v>
      </c>
      <c r="DP54" s="12">
        <f t="shared" si="20"/>
        <v>77.722174507935719</v>
      </c>
      <c r="DQ54" s="12">
        <f t="shared" si="20"/>
        <v>74.834599237527385</v>
      </c>
      <c r="DR54" s="12">
        <f t="shared" si="20"/>
        <v>72.297950312292215</v>
      </c>
      <c r="DS54" s="12">
        <f t="shared" si="20"/>
        <v>70.092629723050678</v>
      </c>
      <c r="DT54" s="12">
        <f t="shared" si="20"/>
        <v>68.195287040548607</v>
      </c>
      <c r="DU54" s="12">
        <f t="shared" si="20"/>
        <v>66.579105894969501</v>
      </c>
      <c r="DV54" s="12">
        <f t="shared" si="20"/>
        <v>65.21412433858147</v>
      </c>
      <c r="DW54" s="12">
        <f t="shared" si="20"/>
        <v>64.067585073222403</v>
      </c>
      <c r="DX54" s="12">
        <f t="shared" si="20"/>
        <v>63.10431149836235</v>
      </c>
      <c r="DY54" s="12">
        <f t="shared" si="20"/>
        <v>62.287105552704574</v>
      </c>
      <c r="DZ54" s="12">
        <f t="shared" si="20"/>
        <v>61.577163368070174</v>
      </c>
      <c r="EA54" s="11">
        <f t="shared" si="20"/>
        <v>60.93450481465274</v>
      </c>
    </row>
    <row r="55" spans="5:131" x14ac:dyDescent="0.3">
      <c r="E55" s="16"/>
      <c r="F55" s="11">
        <f t="shared" si="17"/>
        <v>300</v>
      </c>
      <c r="G55" s="12">
        <f t="shared" si="23"/>
        <v>287.20458331783192</v>
      </c>
      <c r="H55" s="12">
        <f t="shared" si="23"/>
        <v>274.47945650127747</v>
      </c>
      <c r="I55" s="12">
        <f t="shared" si="23"/>
        <v>261.89403216396983</v>
      </c>
      <c r="J55" s="12">
        <f t="shared" si="23"/>
        <v>249.51598121594654</v>
      </c>
      <c r="K55" s="12">
        <f t="shared" si="23"/>
        <v>237.41039374200528</v>
      </c>
      <c r="L55" s="12">
        <f t="shared" si="23"/>
        <v>225.63897720725134</v>
      </c>
      <c r="M55" s="12">
        <f t="shared" si="23"/>
        <v>214.25930321091448</v>
      </c>
      <c r="N55" s="12">
        <f t="shared" si="23"/>
        <v>203.32411301536507</v>
      </c>
      <c r="O55" s="12">
        <f t="shared" si="23"/>
        <v>192.8806908976124</v>
      </c>
      <c r="P55" s="12">
        <f t="shared" si="23"/>
        <v>182.97031304318858</v>
      </c>
      <c r="Q55" s="12">
        <f t="shared" si="23"/>
        <v>173.62777826859929</v>
      </c>
      <c r="R55" s="12">
        <f t="shared" si="23"/>
        <v>164.88102536165582</v>
      </c>
      <c r="S55" s="12">
        <f t="shared" si="23"/>
        <v>156.75084031219725</v>
      </c>
      <c r="T55" s="12">
        <f t="shared" si="23"/>
        <v>149.25065521040028</v>
      </c>
      <c r="U55" s="12">
        <f t="shared" si="23"/>
        <v>142.3864391541251</v>
      </c>
      <c r="V55" s="12">
        <f t="shared" si="23"/>
        <v>136.15668016384507</v>
      </c>
      <c r="W55" s="12">
        <f t="shared" si="21"/>
        <v>130.55245588106152</v>
      </c>
      <c r="X55" s="12">
        <f t="shared" si="21"/>
        <v>125.55758974443724</v>
      </c>
      <c r="Y55" s="12">
        <f t="shared" si="21"/>
        <v>121.14888841078466</v>
      </c>
      <c r="Z55" s="12">
        <f t="shared" si="21"/>
        <v>117.29645542188688</v>
      </c>
      <c r="AA55" s="12">
        <f t="shared" si="21"/>
        <v>113.9640755122897</v>
      </c>
      <c r="AB55" s="12">
        <f t="shared" si="21"/>
        <v>111.10966350062374</v>
      </c>
      <c r="AC55" s="12">
        <f t="shared" si="21"/>
        <v>108.68577139501522</v>
      </c>
      <c r="AD55" s="12">
        <f t="shared" si="21"/>
        <v>106.64014715446092</v>
      </c>
      <c r="AE55" s="12">
        <f t="shared" si="21"/>
        <v>104.91633846201006</v>
      </c>
      <c r="AF55" s="12">
        <f t="shared" si="21"/>
        <v>103.45433485945046</v>
      </c>
      <c r="AG55" s="12">
        <f t="shared" si="21"/>
        <v>102.19124164338535</v>
      </c>
      <c r="AH55" s="12">
        <f t="shared" si="21"/>
        <v>101.06197900608419</v>
      </c>
      <c r="AI55" s="11">
        <f t="shared" si="18"/>
        <v>100</v>
      </c>
      <c r="AK55" s="17"/>
      <c r="AL55" s="11">
        <f t="shared" si="13"/>
        <v>-1076400000</v>
      </c>
      <c r="AM55" s="12">
        <f t="shared" si="13"/>
        <v>-1030218121.5702678</v>
      </c>
      <c r="AN55" s="12">
        <f t="shared" si="13"/>
        <v>-984291836.91536927</v>
      </c>
      <c r="AO55" s="12">
        <f t="shared" si="13"/>
        <v>-938873542.71053815</v>
      </c>
      <c r="AP55" s="12">
        <f t="shared" si="13"/>
        <v>-894209288.40698266</v>
      </c>
      <c r="AQ55" s="12">
        <f t="shared" si="13"/>
        <v>-850535719.05097461</v>
      </c>
      <c r="AR55" s="12">
        <f t="shared" si="13"/>
        <v>-808077155.03549755</v>
      </c>
      <c r="AS55" s="12">
        <f t="shared" si="13"/>
        <v>-767042849.88903475</v>
      </c>
      <c r="AT55" s="12">
        <f t="shared" si="13"/>
        <v>-727624463.51336551</v>
      </c>
      <c r="AU55" s="12">
        <f t="shared" si="13"/>
        <v>-689993783.90351915</v>
      </c>
      <c r="AV55" s="12">
        <f t="shared" si="13"/>
        <v>-654300725.46031284</v>
      </c>
      <c r="AW55" s="12">
        <f t="shared" si="13"/>
        <v>-620671626.69455934</v>
      </c>
      <c r="AX55" s="12">
        <f t="shared" si="13"/>
        <v>-589207864.58415496</v>
      </c>
      <c r="AY55" s="12">
        <f t="shared" si="13"/>
        <v>-559984797.24264014</v>
      </c>
      <c r="AZ55" s="12">
        <f t="shared" si="13"/>
        <v>-533051041.04541051</v>
      </c>
      <c r="BA55" s="12">
        <f t="shared" si="13"/>
        <v>-508428083.07949215</v>
      </c>
      <c r="BB55" s="12">
        <f t="shared" si="19"/>
        <v>-486110224.85845524</v>
      </c>
      <c r="BC55" s="12">
        <f t="shared" si="19"/>
        <v>-466064848.77701688</v>
      </c>
      <c r="BD55" s="12">
        <f t="shared" si="19"/>
        <v>-448232994.84626448</v>
      </c>
      <c r="BE55" s="12">
        <f t="shared" si="19"/>
        <v>-432530231.89937711</v>
      </c>
      <c r="BF55" s="12">
        <f t="shared" si="19"/>
        <v>-418847804.71114761</v>
      </c>
      <c r="BG55" s="12">
        <f t="shared" si="19"/>
        <v>-407054036.32815874</v>
      </c>
      <c r="BH55" s="12">
        <f t="shared" si="19"/>
        <v>-396995963.3316642</v>
      </c>
      <c r="BI55" s="12">
        <f t="shared" si="19"/>
        <v>-388501180.70256597</v>
      </c>
      <c r="BJ55" s="12">
        <f t="shared" si="19"/>
        <v>-381379872.36081272</v>
      </c>
      <c r="BK55" s="12">
        <f t="shared" si="19"/>
        <v>-375427003.23093891</v>
      </c>
      <c r="BL55" s="12">
        <f t="shared" si="19"/>
        <v>-370424648.75451559</v>
      </c>
      <c r="BM55" s="12">
        <f t="shared" si="19"/>
        <v>-366144438.0394603</v>
      </c>
      <c r="BN55" s="12">
        <f t="shared" si="19"/>
        <v>-362350087.21810418</v>
      </c>
      <c r="BO55" s="11">
        <f t="shared" si="19"/>
        <v>-358800000</v>
      </c>
      <c r="BQ55" s="16"/>
      <c r="BR55" s="11">
        <v>0</v>
      </c>
      <c r="BS55" s="12">
        <f t="shared" si="24"/>
        <v>0.3415922014622258</v>
      </c>
      <c r="BT55" s="12">
        <f t="shared" si="24"/>
        <v>0.3867162803971414</v>
      </c>
      <c r="BU55" s="12">
        <f t="shared" si="24"/>
        <v>0.39358441341045353</v>
      </c>
      <c r="BV55" s="12">
        <f t="shared" si="24"/>
        <v>0.39465123071155611</v>
      </c>
      <c r="BW55" s="12">
        <f t="shared" si="24"/>
        <v>0.39481745705771337</v>
      </c>
      <c r="BX55" s="12">
        <f t="shared" si="24"/>
        <v>0.39484337025824801</v>
      </c>
      <c r="BY55" s="12">
        <f t="shared" si="24"/>
        <v>0.39484741020089792</v>
      </c>
      <c r="BZ55" s="12">
        <f t="shared" si="24"/>
        <v>0.39484804004704999</v>
      </c>
      <c r="CA55" s="12">
        <f t="shared" si="24"/>
        <v>0.39484813824322279</v>
      </c>
      <c r="CB55" s="12">
        <f t="shared" si="24"/>
        <v>0.39484815355250286</v>
      </c>
      <c r="CC55" s="12">
        <f t="shared" si="24"/>
        <v>0.39484815593929717</v>
      </c>
      <c r="CD55" s="12">
        <f t="shared" si="24"/>
        <v>0.39484815631141046</v>
      </c>
      <c r="CE55" s="12">
        <f t="shared" si="24"/>
        <v>0.39484815636942483</v>
      </c>
      <c r="CF55" s="12">
        <f t="shared" si="24"/>
        <v>0.39484815637846954</v>
      </c>
      <c r="CG55" s="12">
        <f t="shared" si="24"/>
        <v>0.39484815637987963</v>
      </c>
      <c r="CH55" s="12">
        <f t="shared" si="24"/>
        <v>0.39484815638009951</v>
      </c>
      <c r="CI55" s="12">
        <f t="shared" si="22"/>
        <v>0.39484815638013382</v>
      </c>
      <c r="CJ55" s="12">
        <f t="shared" si="22"/>
        <v>0.39484815638013915</v>
      </c>
      <c r="CK55" s="12">
        <f t="shared" si="22"/>
        <v>0.39484815638013998</v>
      </c>
      <c r="CL55" s="12">
        <f t="shared" si="22"/>
        <v>0.39484815638014015</v>
      </c>
      <c r="CM55" s="12">
        <f t="shared" si="22"/>
        <v>0.39484815638014015</v>
      </c>
      <c r="CN55" s="12">
        <f t="shared" si="22"/>
        <v>0.39484815638014015</v>
      </c>
      <c r="CO55" s="12">
        <f t="shared" si="22"/>
        <v>0.39484815638014015</v>
      </c>
      <c r="CP55" s="12">
        <f t="shared" si="22"/>
        <v>0.39484815638014015</v>
      </c>
      <c r="CQ55" s="12">
        <f t="shared" si="22"/>
        <v>0.39484815638014015</v>
      </c>
      <c r="CR55" s="12">
        <f t="shared" si="22"/>
        <v>0.39484815638014015</v>
      </c>
      <c r="CS55" s="12">
        <f t="shared" si="22"/>
        <v>0.39484815638014015</v>
      </c>
      <c r="CT55" s="12">
        <f t="shared" si="22"/>
        <v>0.39484815638014015</v>
      </c>
      <c r="CU55" s="11">
        <f t="shared" si="22"/>
        <v>0.39484815638014015</v>
      </c>
      <c r="CW55" s="16"/>
      <c r="CX55" s="11">
        <f t="shared" si="15"/>
        <v>300</v>
      </c>
      <c r="CY55" s="12">
        <f t="shared" si="16"/>
        <v>193.44454151540529</v>
      </c>
      <c r="CZ55" s="12">
        <f t="shared" si="16"/>
        <v>173.20077052461775</v>
      </c>
      <c r="DA55" s="12">
        <f t="shared" si="16"/>
        <v>163.68843106055775</v>
      </c>
      <c r="DB55" s="12">
        <f t="shared" si="16"/>
        <v>155.82167714194904</v>
      </c>
      <c r="DC55" s="12">
        <f t="shared" si="16"/>
        <v>148.32418654793494</v>
      </c>
      <c r="DD55" s="12">
        <f t="shared" si="16"/>
        <v>141.04011181826999</v>
      </c>
      <c r="DE55" s="12">
        <f t="shared" si="16"/>
        <v>133.97730375540289</v>
      </c>
      <c r="DF55" s="12">
        <f t="shared" si="16"/>
        <v>127.16555025152195</v>
      </c>
      <c r="DG55" s="12">
        <f t="shared" si="16"/>
        <v>120.6352034387297</v>
      </c>
      <c r="DH55" s="12">
        <f t="shared" si="16"/>
        <v>114.41370538840877</v>
      </c>
      <c r="DI55" s="12">
        <f t="shared" si="16"/>
        <v>108.52480945516899</v>
      </c>
      <c r="DJ55" s="12">
        <f t="shared" si="16"/>
        <v>102.98824506412041</v>
      </c>
      <c r="DK55" s="12">
        <f t="shared" si="16"/>
        <v>97.819494265442017</v>
      </c>
      <c r="DL55" s="12">
        <f t="shared" si="16"/>
        <v>93.02963221709885</v>
      </c>
      <c r="DM55" s="12">
        <f t="shared" si="16"/>
        <v>88.625225012625947</v>
      </c>
      <c r="DN55" s="12">
        <f t="shared" si="16"/>
        <v>84.608283648313645</v>
      </c>
      <c r="DO55" s="12">
        <f t="shared" si="20"/>
        <v>80.976273050937266</v>
      </c>
      <c r="DP55" s="12">
        <f t="shared" si="20"/>
        <v>77.722174507935705</v>
      </c>
      <c r="DQ55" s="12">
        <f t="shared" si="20"/>
        <v>74.834599237527357</v>
      </c>
      <c r="DR55" s="12">
        <f t="shared" si="20"/>
        <v>72.297950312292215</v>
      </c>
      <c r="DS55" s="12">
        <f t="shared" si="20"/>
        <v>70.092629723050663</v>
      </c>
      <c r="DT55" s="12">
        <f t="shared" si="20"/>
        <v>68.195287040548607</v>
      </c>
      <c r="DU55" s="12">
        <f t="shared" si="20"/>
        <v>66.579105894969487</v>
      </c>
      <c r="DV55" s="12">
        <f t="shared" si="20"/>
        <v>65.214124338581456</v>
      </c>
      <c r="DW55" s="12">
        <f t="shared" si="20"/>
        <v>64.067585073222389</v>
      </c>
      <c r="DX55" s="12">
        <f t="shared" si="20"/>
        <v>63.10431149836235</v>
      </c>
      <c r="DY55" s="12">
        <f t="shared" si="20"/>
        <v>62.287105552704574</v>
      </c>
      <c r="DZ55" s="12">
        <f t="shared" si="20"/>
        <v>61.577163368070174</v>
      </c>
      <c r="EA55" s="11">
        <f t="shared" si="20"/>
        <v>60.93450481465274</v>
      </c>
    </row>
    <row r="56" spans="5:131" x14ac:dyDescent="0.3">
      <c r="E56" s="16"/>
      <c r="F56" s="11">
        <f t="shared" si="17"/>
        <v>300</v>
      </c>
      <c r="G56" s="12">
        <f t="shared" si="23"/>
        <v>287.20458331783186</v>
      </c>
      <c r="H56" s="12">
        <f t="shared" si="23"/>
        <v>274.47945650127741</v>
      </c>
      <c r="I56" s="12">
        <f t="shared" si="23"/>
        <v>261.89403216396977</v>
      </c>
      <c r="J56" s="12">
        <f t="shared" si="23"/>
        <v>249.51598121594651</v>
      </c>
      <c r="K56" s="12">
        <f t="shared" si="23"/>
        <v>237.4103937420052</v>
      </c>
      <c r="L56" s="12">
        <f t="shared" si="23"/>
        <v>225.63897720725123</v>
      </c>
      <c r="M56" s="12">
        <f t="shared" si="23"/>
        <v>214.25930321091437</v>
      </c>
      <c r="N56" s="12">
        <f t="shared" si="23"/>
        <v>203.32411301536501</v>
      </c>
      <c r="O56" s="12">
        <f t="shared" si="23"/>
        <v>192.88069089761231</v>
      </c>
      <c r="P56" s="12">
        <f t="shared" si="23"/>
        <v>182.97031304318853</v>
      </c>
      <c r="Q56" s="12">
        <f t="shared" si="23"/>
        <v>173.62777826859923</v>
      </c>
      <c r="R56" s="12">
        <f t="shared" si="23"/>
        <v>164.88102536165576</v>
      </c>
      <c r="S56" s="12">
        <f t="shared" si="23"/>
        <v>156.7508403121972</v>
      </c>
      <c r="T56" s="12">
        <f t="shared" si="23"/>
        <v>149.25065521040023</v>
      </c>
      <c r="U56" s="12">
        <f t="shared" si="23"/>
        <v>142.38643915412507</v>
      </c>
      <c r="V56" s="12">
        <f t="shared" si="23"/>
        <v>136.15668016384504</v>
      </c>
      <c r="W56" s="12">
        <f t="shared" si="21"/>
        <v>130.55245588106149</v>
      </c>
      <c r="X56" s="12">
        <f t="shared" si="21"/>
        <v>125.55758974443722</v>
      </c>
      <c r="Y56" s="12">
        <f t="shared" si="21"/>
        <v>121.14888841078465</v>
      </c>
      <c r="Z56" s="12">
        <f t="shared" si="21"/>
        <v>117.29645542188686</v>
      </c>
      <c r="AA56" s="12">
        <f t="shared" si="21"/>
        <v>113.96407551228968</v>
      </c>
      <c r="AB56" s="12">
        <f t="shared" si="21"/>
        <v>111.10966350062374</v>
      </c>
      <c r="AC56" s="12">
        <f t="shared" si="21"/>
        <v>108.68577139501522</v>
      </c>
      <c r="AD56" s="12">
        <f t="shared" si="21"/>
        <v>106.64014715446089</v>
      </c>
      <c r="AE56" s="12">
        <f t="shared" si="21"/>
        <v>104.91633846201003</v>
      </c>
      <c r="AF56" s="12">
        <f t="shared" si="21"/>
        <v>103.45433485945043</v>
      </c>
      <c r="AG56" s="12">
        <f t="shared" si="21"/>
        <v>102.19124164338533</v>
      </c>
      <c r="AH56" s="12">
        <f t="shared" si="21"/>
        <v>101.06197900608419</v>
      </c>
      <c r="AI56" s="11">
        <f t="shared" si="18"/>
        <v>100</v>
      </c>
      <c r="AK56" s="17"/>
      <c r="AL56" s="11">
        <f t="shared" si="13"/>
        <v>-1076400000</v>
      </c>
      <c r="AM56" s="12">
        <f t="shared" si="13"/>
        <v>-1030218121.5702677</v>
      </c>
      <c r="AN56" s="12">
        <f t="shared" si="13"/>
        <v>-984291836.91536915</v>
      </c>
      <c r="AO56" s="12">
        <f t="shared" si="13"/>
        <v>-938873542.71053815</v>
      </c>
      <c r="AP56" s="12">
        <f t="shared" si="13"/>
        <v>-894209288.40698254</v>
      </c>
      <c r="AQ56" s="12">
        <f t="shared" si="13"/>
        <v>-850535719.05097449</v>
      </c>
      <c r="AR56" s="12">
        <f t="shared" si="13"/>
        <v>-808077155.03549731</v>
      </c>
      <c r="AS56" s="12">
        <f t="shared" si="13"/>
        <v>-767042849.88903451</v>
      </c>
      <c r="AT56" s="12">
        <f t="shared" si="13"/>
        <v>-727624463.51336527</v>
      </c>
      <c r="AU56" s="12">
        <f t="shared" si="13"/>
        <v>-689993783.90351892</v>
      </c>
      <c r="AV56" s="12">
        <f t="shared" si="13"/>
        <v>-654300725.4603126</v>
      </c>
      <c r="AW56" s="12">
        <f t="shared" si="13"/>
        <v>-620671626.69455922</v>
      </c>
      <c r="AX56" s="12">
        <f t="shared" si="13"/>
        <v>-589207864.58415484</v>
      </c>
      <c r="AY56" s="12">
        <f t="shared" si="13"/>
        <v>-559984797.24264014</v>
      </c>
      <c r="AZ56" s="12">
        <f t="shared" si="13"/>
        <v>-533051041.04541051</v>
      </c>
      <c r="BA56" s="12">
        <f t="shared" si="13"/>
        <v>-508428083.07949203</v>
      </c>
      <c r="BB56" s="12">
        <f t="shared" si="19"/>
        <v>-486110224.85845512</v>
      </c>
      <c r="BC56" s="12">
        <f t="shared" si="19"/>
        <v>-466064848.77701688</v>
      </c>
      <c r="BD56" s="12">
        <f t="shared" si="19"/>
        <v>-448232994.84626442</v>
      </c>
      <c r="BE56" s="12">
        <f t="shared" si="19"/>
        <v>-432530231.89937711</v>
      </c>
      <c r="BF56" s="12">
        <f t="shared" si="19"/>
        <v>-418847804.71114755</v>
      </c>
      <c r="BG56" s="12">
        <f t="shared" si="19"/>
        <v>-407054036.32815868</v>
      </c>
      <c r="BH56" s="12">
        <f t="shared" si="19"/>
        <v>-396995963.3316642</v>
      </c>
      <c r="BI56" s="12">
        <f t="shared" si="19"/>
        <v>-388501180.70256597</v>
      </c>
      <c r="BJ56" s="12">
        <f t="shared" si="19"/>
        <v>-381379872.36081266</v>
      </c>
      <c r="BK56" s="12">
        <f t="shared" si="19"/>
        <v>-375427003.23093885</v>
      </c>
      <c r="BL56" s="12">
        <f t="shared" si="19"/>
        <v>-370424648.75451547</v>
      </c>
      <c r="BM56" s="12">
        <f t="shared" si="19"/>
        <v>-366144438.0394603</v>
      </c>
      <c r="BN56" s="12">
        <f t="shared" si="19"/>
        <v>-362350087.21810412</v>
      </c>
      <c r="BO56" s="11">
        <f t="shared" si="19"/>
        <v>-358800000</v>
      </c>
      <c r="BQ56" s="16"/>
      <c r="BR56" s="11">
        <v>0</v>
      </c>
      <c r="BS56" s="12">
        <f t="shared" si="24"/>
        <v>0.3415922014622258</v>
      </c>
      <c r="BT56" s="12">
        <f t="shared" si="24"/>
        <v>0.3867162803971414</v>
      </c>
      <c r="BU56" s="12">
        <f t="shared" si="24"/>
        <v>0.39358441341045353</v>
      </c>
      <c r="BV56" s="12">
        <f t="shared" si="24"/>
        <v>0.39465123071155611</v>
      </c>
      <c r="BW56" s="12">
        <f t="shared" si="24"/>
        <v>0.39481745705771337</v>
      </c>
      <c r="BX56" s="12">
        <f t="shared" si="24"/>
        <v>0.39484337025824801</v>
      </c>
      <c r="BY56" s="12">
        <f t="shared" si="24"/>
        <v>0.39484741020089792</v>
      </c>
      <c r="BZ56" s="12">
        <f t="shared" si="24"/>
        <v>0.39484804004704999</v>
      </c>
      <c r="CA56" s="12">
        <f t="shared" si="24"/>
        <v>0.39484813824322279</v>
      </c>
      <c r="CB56" s="12">
        <f t="shared" si="24"/>
        <v>0.39484815355250286</v>
      </c>
      <c r="CC56" s="12">
        <f t="shared" si="24"/>
        <v>0.39484815593929717</v>
      </c>
      <c r="CD56" s="12">
        <f t="shared" si="24"/>
        <v>0.39484815631141046</v>
      </c>
      <c r="CE56" s="12">
        <f t="shared" si="24"/>
        <v>0.39484815636942483</v>
      </c>
      <c r="CF56" s="12">
        <f t="shared" si="24"/>
        <v>0.39484815637846954</v>
      </c>
      <c r="CG56" s="12">
        <f t="shared" si="24"/>
        <v>0.39484815637987963</v>
      </c>
      <c r="CH56" s="12">
        <f t="shared" si="24"/>
        <v>0.39484815638009951</v>
      </c>
      <c r="CI56" s="12">
        <f t="shared" si="22"/>
        <v>0.39484815638013382</v>
      </c>
      <c r="CJ56" s="12">
        <f t="shared" si="22"/>
        <v>0.39484815638013915</v>
      </c>
      <c r="CK56" s="12">
        <f t="shared" si="22"/>
        <v>0.39484815638013998</v>
      </c>
      <c r="CL56" s="12">
        <f t="shared" si="22"/>
        <v>0.39484815638014015</v>
      </c>
      <c r="CM56" s="12">
        <f t="shared" si="22"/>
        <v>0.39484815638014015</v>
      </c>
      <c r="CN56" s="12">
        <f t="shared" si="22"/>
        <v>0.39484815638014015</v>
      </c>
      <c r="CO56" s="12">
        <f t="shared" si="22"/>
        <v>0.39484815638014015</v>
      </c>
      <c r="CP56" s="12">
        <f t="shared" si="22"/>
        <v>0.39484815638014015</v>
      </c>
      <c r="CQ56" s="12">
        <f t="shared" si="22"/>
        <v>0.39484815638014015</v>
      </c>
      <c r="CR56" s="12">
        <f t="shared" si="22"/>
        <v>0.39484815638014015</v>
      </c>
      <c r="CS56" s="12">
        <f t="shared" si="22"/>
        <v>0.39484815638014015</v>
      </c>
      <c r="CT56" s="12">
        <f t="shared" si="22"/>
        <v>0.39484815638014015</v>
      </c>
      <c r="CU56" s="11">
        <f t="shared" si="22"/>
        <v>0.39484815638014015</v>
      </c>
      <c r="CW56" s="16"/>
      <c r="CX56" s="11">
        <f t="shared" si="15"/>
        <v>300</v>
      </c>
      <c r="CY56" s="12">
        <f t="shared" si="16"/>
        <v>193.44454151540529</v>
      </c>
      <c r="CZ56" s="12">
        <f t="shared" si="16"/>
        <v>173.20077052461772</v>
      </c>
      <c r="DA56" s="12">
        <f t="shared" si="16"/>
        <v>163.68843106055775</v>
      </c>
      <c r="DB56" s="12">
        <f t="shared" si="16"/>
        <v>155.82167714194904</v>
      </c>
      <c r="DC56" s="12">
        <f t="shared" si="16"/>
        <v>148.32418654793491</v>
      </c>
      <c r="DD56" s="12">
        <f t="shared" si="16"/>
        <v>141.04011181826996</v>
      </c>
      <c r="DE56" s="12">
        <f t="shared" si="16"/>
        <v>133.97730375540283</v>
      </c>
      <c r="DF56" s="12">
        <f t="shared" si="16"/>
        <v>127.16555025152191</v>
      </c>
      <c r="DG56" s="12">
        <f t="shared" si="16"/>
        <v>120.63520343872966</v>
      </c>
      <c r="DH56" s="12">
        <f t="shared" si="16"/>
        <v>114.41370538840873</v>
      </c>
      <c r="DI56" s="12">
        <f t="shared" si="16"/>
        <v>108.52480945516895</v>
      </c>
      <c r="DJ56" s="12">
        <f t="shared" si="16"/>
        <v>102.98824506412038</v>
      </c>
      <c r="DK56" s="12">
        <f t="shared" si="16"/>
        <v>97.819494265441989</v>
      </c>
      <c r="DL56" s="12">
        <f t="shared" si="16"/>
        <v>93.029632217098822</v>
      </c>
      <c r="DM56" s="12">
        <f t="shared" si="16"/>
        <v>88.625225012625918</v>
      </c>
      <c r="DN56" s="12">
        <f t="shared" si="16"/>
        <v>84.60828364831363</v>
      </c>
      <c r="DO56" s="12">
        <f t="shared" si="20"/>
        <v>80.976273050937266</v>
      </c>
      <c r="DP56" s="12">
        <f t="shared" si="20"/>
        <v>77.722174507935705</v>
      </c>
      <c r="DQ56" s="12">
        <f t="shared" si="20"/>
        <v>74.834599237527357</v>
      </c>
      <c r="DR56" s="12">
        <f t="shared" si="20"/>
        <v>72.297950312292201</v>
      </c>
      <c r="DS56" s="12">
        <f t="shared" si="20"/>
        <v>70.092629723050649</v>
      </c>
      <c r="DT56" s="12">
        <f t="shared" si="20"/>
        <v>68.195287040548607</v>
      </c>
      <c r="DU56" s="12">
        <f t="shared" si="20"/>
        <v>66.579105894969487</v>
      </c>
      <c r="DV56" s="12">
        <f t="shared" si="20"/>
        <v>65.214124338581442</v>
      </c>
      <c r="DW56" s="12">
        <f t="shared" si="20"/>
        <v>64.067585073222375</v>
      </c>
      <c r="DX56" s="12">
        <f t="shared" si="20"/>
        <v>63.104311498362328</v>
      </c>
      <c r="DY56" s="12">
        <f t="shared" si="20"/>
        <v>62.28710555270456</v>
      </c>
      <c r="DZ56" s="12">
        <f t="shared" si="20"/>
        <v>61.577163368070167</v>
      </c>
      <c r="EA56" s="11">
        <f t="shared" si="20"/>
        <v>60.934504814652733</v>
      </c>
    </row>
    <row r="57" spans="5:131" x14ac:dyDescent="0.3">
      <c r="E57" s="16"/>
      <c r="F57" s="11">
        <f t="shared" si="17"/>
        <v>300</v>
      </c>
      <c r="G57" s="12">
        <f t="shared" si="23"/>
        <v>287.20458331783192</v>
      </c>
      <c r="H57" s="12">
        <f t="shared" si="23"/>
        <v>274.47945650127747</v>
      </c>
      <c r="I57" s="12">
        <f t="shared" si="23"/>
        <v>261.89403216396977</v>
      </c>
      <c r="J57" s="12">
        <f t="shared" si="23"/>
        <v>249.51598121594651</v>
      </c>
      <c r="K57" s="12">
        <f t="shared" si="23"/>
        <v>237.41039374200523</v>
      </c>
      <c r="L57" s="12">
        <f t="shared" si="23"/>
        <v>225.63897720725123</v>
      </c>
      <c r="M57" s="12">
        <f t="shared" si="23"/>
        <v>214.25930321091437</v>
      </c>
      <c r="N57" s="12">
        <f t="shared" si="23"/>
        <v>203.32411301536501</v>
      </c>
      <c r="O57" s="12">
        <f t="shared" si="23"/>
        <v>192.88069089761231</v>
      </c>
      <c r="P57" s="12">
        <f t="shared" si="23"/>
        <v>182.97031304318853</v>
      </c>
      <c r="Q57" s="12">
        <f t="shared" si="23"/>
        <v>173.62777826859923</v>
      </c>
      <c r="R57" s="12">
        <f t="shared" si="23"/>
        <v>164.88102536165576</v>
      </c>
      <c r="S57" s="12">
        <f t="shared" si="23"/>
        <v>156.7508403121972</v>
      </c>
      <c r="T57" s="12">
        <f t="shared" si="23"/>
        <v>149.25065521040023</v>
      </c>
      <c r="U57" s="12">
        <f t="shared" si="23"/>
        <v>142.38643915412507</v>
      </c>
      <c r="V57" s="12">
        <f t="shared" si="23"/>
        <v>136.15668016384507</v>
      </c>
      <c r="W57" s="12">
        <f t="shared" si="21"/>
        <v>130.55245588106152</v>
      </c>
      <c r="X57" s="12">
        <f t="shared" si="21"/>
        <v>125.55758974443725</v>
      </c>
      <c r="Y57" s="12">
        <f t="shared" si="21"/>
        <v>121.14888841078468</v>
      </c>
      <c r="Z57" s="12">
        <f t="shared" si="21"/>
        <v>117.29645542188688</v>
      </c>
      <c r="AA57" s="12">
        <f t="shared" si="21"/>
        <v>113.9640755122897</v>
      </c>
      <c r="AB57" s="12">
        <f t="shared" si="21"/>
        <v>111.10966350062374</v>
      </c>
      <c r="AC57" s="12">
        <f t="shared" si="21"/>
        <v>108.68577139501522</v>
      </c>
      <c r="AD57" s="12">
        <f t="shared" si="21"/>
        <v>106.64014715446092</v>
      </c>
      <c r="AE57" s="12">
        <f t="shared" si="21"/>
        <v>104.91633846201006</v>
      </c>
      <c r="AF57" s="12">
        <f t="shared" si="21"/>
        <v>103.45433485945043</v>
      </c>
      <c r="AG57" s="12">
        <f t="shared" si="21"/>
        <v>102.19124164338533</v>
      </c>
      <c r="AH57" s="12">
        <f t="shared" si="21"/>
        <v>101.06197900608419</v>
      </c>
      <c r="AI57" s="11">
        <f t="shared" si="18"/>
        <v>100</v>
      </c>
      <c r="AK57" s="17"/>
      <c r="AL57" s="11">
        <f t="shared" si="13"/>
        <v>-1076400000</v>
      </c>
      <c r="AM57" s="12">
        <f t="shared" si="13"/>
        <v>-1030218121.5702678</v>
      </c>
      <c r="AN57" s="12">
        <f t="shared" si="13"/>
        <v>-984291836.91536927</v>
      </c>
      <c r="AO57" s="12">
        <f t="shared" si="13"/>
        <v>-938873542.71053815</v>
      </c>
      <c r="AP57" s="12">
        <f t="shared" si="13"/>
        <v>-894209288.40698266</v>
      </c>
      <c r="AQ57" s="12">
        <f t="shared" si="13"/>
        <v>-850535719.05097461</v>
      </c>
      <c r="AR57" s="12">
        <f t="shared" si="13"/>
        <v>-808077155.03549743</v>
      </c>
      <c r="AS57" s="12">
        <f t="shared" si="13"/>
        <v>-767042849.88903451</v>
      </c>
      <c r="AT57" s="12">
        <f t="shared" si="13"/>
        <v>-727624463.51336539</v>
      </c>
      <c r="AU57" s="12">
        <f t="shared" si="13"/>
        <v>-689993783.90351892</v>
      </c>
      <c r="AV57" s="12">
        <f t="shared" si="13"/>
        <v>-654300725.46031272</v>
      </c>
      <c r="AW57" s="12">
        <f t="shared" si="13"/>
        <v>-620671626.69455922</v>
      </c>
      <c r="AX57" s="12">
        <f t="shared" si="13"/>
        <v>-589207864.58415496</v>
      </c>
      <c r="AY57" s="12">
        <f t="shared" si="13"/>
        <v>-559984797.24264014</v>
      </c>
      <c r="AZ57" s="12">
        <f t="shared" si="13"/>
        <v>-533051041.04541051</v>
      </c>
      <c r="BA57" s="12">
        <f t="shared" si="13"/>
        <v>-508428083.07949215</v>
      </c>
      <c r="BB57" s="12">
        <f t="shared" si="19"/>
        <v>-486110224.85845524</v>
      </c>
      <c r="BC57" s="12">
        <f t="shared" si="19"/>
        <v>-466064848.777017</v>
      </c>
      <c r="BD57" s="12">
        <f t="shared" si="19"/>
        <v>-448232994.84626454</v>
      </c>
      <c r="BE57" s="12">
        <f t="shared" si="19"/>
        <v>-432530231.89937711</v>
      </c>
      <c r="BF57" s="12">
        <f t="shared" si="19"/>
        <v>-418847804.71114761</v>
      </c>
      <c r="BG57" s="12">
        <f t="shared" si="19"/>
        <v>-407054036.32815874</v>
      </c>
      <c r="BH57" s="12">
        <f t="shared" si="19"/>
        <v>-396995963.3316642</v>
      </c>
      <c r="BI57" s="12">
        <f t="shared" si="19"/>
        <v>-388501180.70256597</v>
      </c>
      <c r="BJ57" s="12">
        <f t="shared" si="19"/>
        <v>-381379872.36081272</v>
      </c>
      <c r="BK57" s="12">
        <f t="shared" si="19"/>
        <v>-375427003.23093897</v>
      </c>
      <c r="BL57" s="12">
        <f t="shared" si="19"/>
        <v>-370424648.75451553</v>
      </c>
      <c r="BM57" s="12">
        <f t="shared" si="19"/>
        <v>-366144438.0394603</v>
      </c>
      <c r="BN57" s="12">
        <f t="shared" si="19"/>
        <v>-362350087.21810412</v>
      </c>
      <c r="BO57" s="11">
        <f t="shared" si="19"/>
        <v>-358800000</v>
      </c>
      <c r="BQ57" s="16"/>
      <c r="BR57" s="11">
        <v>0</v>
      </c>
      <c r="BS57" s="12">
        <f t="shared" si="24"/>
        <v>0.3415922014622258</v>
      </c>
      <c r="BT57" s="12">
        <f t="shared" si="24"/>
        <v>0.3867162803971414</v>
      </c>
      <c r="BU57" s="12">
        <f t="shared" si="24"/>
        <v>0.39358441341045353</v>
      </c>
      <c r="BV57" s="12">
        <f t="shared" si="24"/>
        <v>0.39465123071155611</v>
      </c>
      <c r="BW57" s="12">
        <f t="shared" si="24"/>
        <v>0.39481745705771337</v>
      </c>
      <c r="BX57" s="12">
        <f t="shared" si="24"/>
        <v>0.39484337025824801</v>
      </c>
      <c r="BY57" s="12">
        <f t="shared" si="24"/>
        <v>0.39484741020089792</v>
      </c>
      <c r="BZ57" s="12">
        <f t="shared" si="24"/>
        <v>0.39484804004704999</v>
      </c>
      <c r="CA57" s="12">
        <f t="shared" si="24"/>
        <v>0.39484813824322279</v>
      </c>
      <c r="CB57" s="12">
        <f t="shared" si="24"/>
        <v>0.39484815355250286</v>
      </c>
      <c r="CC57" s="12">
        <f t="shared" si="24"/>
        <v>0.39484815593929717</v>
      </c>
      <c r="CD57" s="12">
        <f t="shared" si="24"/>
        <v>0.39484815631141046</v>
      </c>
      <c r="CE57" s="12">
        <f t="shared" si="24"/>
        <v>0.39484815636942483</v>
      </c>
      <c r="CF57" s="12">
        <f t="shared" si="24"/>
        <v>0.39484815637846954</v>
      </c>
      <c r="CG57" s="12">
        <f t="shared" si="24"/>
        <v>0.39484815637987963</v>
      </c>
      <c r="CH57" s="12">
        <f t="shared" si="24"/>
        <v>0.39484815638009951</v>
      </c>
      <c r="CI57" s="12">
        <f t="shared" si="22"/>
        <v>0.39484815638013382</v>
      </c>
      <c r="CJ57" s="12">
        <f t="shared" si="22"/>
        <v>0.39484815638013915</v>
      </c>
      <c r="CK57" s="12">
        <f t="shared" si="22"/>
        <v>0.39484815638013998</v>
      </c>
      <c r="CL57" s="12">
        <f t="shared" si="22"/>
        <v>0.39484815638014015</v>
      </c>
      <c r="CM57" s="12">
        <f t="shared" si="22"/>
        <v>0.39484815638014015</v>
      </c>
      <c r="CN57" s="12">
        <f t="shared" si="22"/>
        <v>0.39484815638014015</v>
      </c>
      <c r="CO57" s="12">
        <f t="shared" si="22"/>
        <v>0.39484815638014015</v>
      </c>
      <c r="CP57" s="12">
        <f t="shared" si="22"/>
        <v>0.39484815638014015</v>
      </c>
      <c r="CQ57" s="12">
        <f t="shared" si="22"/>
        <v>0.39484815638014015</v>
      </c>
      <c r="CR57" s="12">
        <f t="shared" si="22"/>
        <v>0.39484815638014015</v>
      </c>
      <c r="CS57" s="12">
        <f t="shared" si="22"/>
        <v>0.39484815638014015</v>
      </c>
      <c r="CT57" s="12">
        <f t="shared" si="22"/>
        <v>0.39484815638014015</v>
      </c>
      <c r="CU57" s="11">
        <f t="shared" si="22"/>
        <v>0.39484815638014015</v>
      </c>
      <c r="CW57" s="16"/>
      <c r="CX57" s="11">
        <f t="shared" si="15"/>
        <v>300</v>
      </c>
      <c r="CY57" s="12">
        <f t="shared" si="16"/>
        <v>193.44454151540529</v>
      </c>
      <c r="CZ57" s="12">
        <f t="shared" si="16"/>
        <v>173.20077052461775</v>
      </c>
      <c r="DA57" s="12">
        <f t="shared" si="16"/>
        <v>163.68843106055775</v>
      </c>
      <c r="DB57" s="12">
        <f t="shared" si="16"/>
        <v>155.82167714194904</v>
      </c>
      <c r="DC57" s="12">
        <f t="shared" si="16"/>
        <v>148.32418654793494</v>
      </c>
      <c r="DD57" s="12">
        <f t="shared" si="16"/>
        <v>141.04011181826996</v>
      </c>
      <c r="DE57" s="12">
        <f t="shared" si="16"/>
        <v>133.97730375540283</v>
      </c>
      <c r="DF57" s="12">
        <f t="shared" si="16"/>
        <v>127.16555025152191</v>
      </c>
      <c r="DG57" s="12">
        <f t="shared" si="16"/>
        <v>120.63520343872966</v>
      </c>
      <c r="DH57" s="12">
        <f t="shared" si="16"/>
        <v>114.41370538840876</v>
      </c>
      <c r="DI57" s="12">
        <f t="shared" si="16"/>
        <v>108.52480945516896</v>
      </c>
      <c r="DJ57" s="12">
        <f t="shared" si="16"/>
        <v>102.98824506412038</v>
      </c>
      <c r="DK57" s="12">
        <f t="shared" si="16"/>
        <v>97.819494265441989</v>
      </c>
      <c r="DL57" s="12">
        <f t="shared" si="16"/>
        <v>93.029632217098822</v>
      </c>
      <c r="DM57" s="12">
        <f t="shared" si="16"/>
        <v>88.625225012625933</v>
      </c>
      <c r="DN57" s="12">
        <f t="shared" si="16"/>
        <v>84.608283648313645</v>
      </c>
      <c r="DO57" s="12">
        <f t="shared" si="20"/>
        <v>80.97627305093728</v>
      </c>
      <c r="DP57" s="12">
        <f t="shared" si="20"/>
        <v>77.722174507935719</v>
      </c>
      <c r="DQ57" s="12">
        <f t="shared" si="20"/>
        <v>74.834599237527371</v>
      </c>
      <c r="DR57" s="12">
        <f t="shared" si="20"/>
        <v>72.297950312292215</v>
      </c>
      <c r="DS57" s="12">
        <f t="shared" si="20"/>
        <v>70.092629723050663</v>
      </c>
      <c r="DT57" s="12">
        <f t="shared" si="20"/>
        <v>68.195287040548607</v>
      </c>
      <c r="DU57" s="12">
        <f t="shared" si="20"/>
        <v>66.579105894969487</v>
      </c>
      <c r="DV57" s="12">
        <f t="shared" si="20"/>
        <v>65.214124338581456</v>
      </c>
      <c r="DW57" s="12">
        <f t="shared" si="20"/>
        <v>64.067585073222389</v>
      </c>
      <c r="DX57" s="12">
        <f t="shared" si="20"/>
        <v>63.104311498362335</v>
      </c>
      <c r="DY57" s="12">
        <f t="shared" si="20"/>
        <v>62.28710555270456</v>
      </c>
      <c r="DZ57" s="12">
        <f t="shared" si="20"/>
        <v>61.577163368070167</v>
      </c>
      <c r="EA57" s="11">
        <f t="shared" si="20"/>
        <v>60.934504814652733</v>
      </c>
    </row>
    <row r="58" spans="5:131" x14ac:dyDescent="0.3">
      <c r="E58" s="16"/>
      <c r="F58" s="11">
        <f t="shared" si="17"/>
        <v>300</v>
      </c>
      <c r="G58" s="12">
        <f t="shared" si="23"/>
        <v>287.20458331783192</v>
      </c>
      <c r="H58" s="12">
        <f t="shared" si="23"/>
        <v>274.47945650127747</v>
      </c>
      <c r="I58" s="12">
        <f t="shared" si="23"/>
        <v>261.89403216396983</v>
      </c>
      <c r="J58" s="12">
        <f t="shared" si="23"/>
        <v>249.51598121594654</v>
      </c>
      <c r="K58" s="12">
        <f t="shared" si="23"/>
        <v>237.41039374200528</v>
      </c>
      <c r="L58" s="12">
        <f t="shared" si="23"/>
        <v>225.63897720725134</v>
      </c>
      <c r="M58" s="12">
        <f t="shared" si="23"/>
        <v>214.25930321091448</v>
      </c>
      <c r="N58" s="12">
        <f t="shared" si="23"/>
        <v>203.32411301536507</v>
      </c>
      <c r="O58" s="12">
        <f t="shared" si="23"/>
        <v>192.8806908976124</v>
      </c>
      <c r="P58" s="12">
        <f t="shared" si="23"/>
        <v>182.97031304318858</v>
      </c>
      <c r="Q58" s="12">
        <f t="shared" si="23"/>
        <v>173.62777826859929</v>
      </c>
      <c r="R58" s="12">
        <f t="shared" si="23"/>
        <v>164.88102536165582</v>
      </c>
      <c r="S58" s="12">
        <f t="shared" si="23"/>
        <v>156.75084031219725</v>
      </c>
      <c r="T58" s="12">
        <f t="shared" si="23"/>
        <v>149.25065521040028</v>
      </c>
      <c r="U58" s="12">
        <f t="shared" si="23"/>
        <v>142.3864391541251</v>
      </c>
      <c r="V58" s="12">
        <f t="shared" si="23"/>
        <v>136.15668016384507</v>
      </c>
      <c r="W58" s="12">
        <f t="shared" si="21"/>
        <v>130.55245588106155</v>
      </c>
      <c r="X58" s="12">
        <f t="shared" si="21"/>
        <v>125.55758974443728</v>
      </c>
      <c r="Y58" s="12">
        <f t="shared" si="21"/>
        <v>121.14888841078469</v>
      </c>
      <c r="Z58" s="12">
        <f t="shared" si="21"/>
        <v>117.29645542188688</v>
      </c>
      <c r="AA58" s="12">
        <f t="shared" si="21"/>
        <v>113.9640755122897</v>
      </c>
      <c r="AB58" s="12">
        <f t="shared" si="21"/>
        <v>111.10966350062374</v>
      </c>
      <c r="AC58" s="12">
        <f t="shared" si="21"/>
        <v>108.68577139501522</v>
      </c>
      <c r="AD58" s="12">
        <f t="shared" si="21"/>
        <v>106.64014715446092</v>
      </c>
      <c r="AE58" s="12">
        <f t="shared" si="21"/>
        <v>104.91633846201006</v>
      </c>
      <c r="AF58" s="12">
        <f t="shared" si="21"/>
        <v>103.45433485945046</v>
      </c>
      <c r="AG58" s="12">
        <f t="shared" si="21"/>
        <v>102.19124164338535</v>
      </c>
      <c r="AH58" s="12">
        <f t="shared" si="21"/>
        <v>101.06197900608419</v>
      </c>
      <c r="AI58" s="11">
        <f t="shared" si="18"/>
        <v>100</v>
      </c>
      <c r="AK58" s="17"/>
      <c r="AL58" s="11">
        <f t="shared" si="13"/>
        <v>-1076400000</v>
      </c>
      <c r="AM58" s="12">
        <f t="shared" si="13"/>
        <v>-1030218121.5702678</v>
      </c>
      <c r="AN58" s="12">
        <f t="shared" si="13"/>
        <v>-984291836.91536951</v>
      </c>
      <c r="AO58" s="12">
        <f t="shared" si="13"/>
        <v>-938873542.71053815</v>
      </c>
      <c r="AP58" s="12">
        <f t="shared" si="13"/>
        <v>-894209288.40698266</v>
      </c>
      <c r="AQ58" s="12">
        <f t="shared" si="13"/>
        <v>-850535719.05097461</v>
      </c>
      <c r="AR58" s="12">
        <f t="shared" si="13"/>
        <v>-808077155.03549755</v>
      </c>
      <c r="AS58" s="12">
        <f t="shared" si="13"/>
        <v>-767042849.88903463</v>
      </c>
      <c r="AT58" s="12">
        <f t="shared" si="13"/>
        <v>-727624463.51336551</v>
      </c>
      <c r="AU58" s="12">
        <f t="shared" si="13"/>
        <v>-689993783.90351915</v>
      </c>
      <c r="AV58" s="12">
        <f t="shared" si="13"/>
        <v>-654300725.46031284</v>
      </c>
      <c r="AW58" s="12">
        <f t="shared" si="13"/>
        <v>-620671626.69455934</v>
      </c>
      <c r="AX58" s="12">
        <f t="shared" si="13"/>
        <v>-589207864.58415508</v>
      </c>
      <c r="AY58" s="12">
        <f t="shared" si="13"/>
        <v>-559984797.24264014</v>
      </c>
      <c r="AZ58" s="12">
        <f t="shared" si="13"/>
        <v>-533051041.04541051</v>
      </c>
      <c r="BA58" s="12">
        <f t="shared" si="13"/>
        <v>-508428083.07949215</v>
      </c>
      <c r="BB58" s="12">
        <f t="shared" si="19"/>
        <v>-486110224.85845524</v>
      </c>
      <c r="BC58" s="12">
        <f t="shared" si="19"/>
        <v>-466064848.77701706</v>
      </c>
      <c r="BD58" s="12">
        <f t="shared" si="19"/>
        <v>-448232994.8462646</v>
      </c>
      <c r="BE58" s="12">
        <f t="shared" si="19"/>
        <v>-432530231.89937711</v>
      </c>
      <c r="BF58" s="12">
        <f t="shared" si="19"/>
        <v>-418847804.71114761</v>
      </c>
      <c r="BG58" s="12">
        <f t="shared" si="19"/>
        <v>-407054036.32815874</v>
      </c>
      <c r="BH58" s="12">
        <f t="shared" si="19"/>
        <v>-396995963.33166426</v>
      </c>
      <c r="BI58" s="12">
        <f t="shared" si="19"/>
        <v>-388501180.70256597</v>
      </c>
      <c r="BJ58" s="12">
        <f t="shared" si="19"/>
        <v>-381379872.36081272</v>
      </c>
      <c r="BK58" s="12">
        <f t="shared" si="19"/>
        <v>-375427003.23093897</v>
      </c>
      <c r="BL58" s="12">
        <f t="shared" si="19"/>
        <v>-370424648.75451559</v>
      </c>
      <c r="BM58" s="12">
        <f t="shared" si="19"/>
        <v>-366144438.0394603</v>
      </c>
      <c r="BN58" s="12">
        <f t="shared" si="19"/>
        <v>-362350087.21810418</v>
      </c>
      <c r="BO58" s="11">
        <f t="shared" si="19"/>
        <v>-358800000</v>
      </c>
      <c r="BQ58" s="16"/>
      <c r="BR58" s="11">
        <v>0</v>
      </c>
      <c r="BS58" s="12">
        <f t="shared" si="24"/>
        <v>0.3415922014622258</v>
      </c>
      <c r="BT58" s="12">
        <f t="shared" si="24"/>
        <v>0.3867162803971414</v>
      </c>
      <c r="BU58" s="12">
        <f t="shared" si="24"/>
        <v>0.39358441341045353</v>
      </c>
      <c r="BV58" s="12">
        <f t="shared" si="24"/>
        <v>0.39465123071155611</v>
      </c>
      <c r="BW58" s="12">
        <f t="shared" si="24"/>
        <v>0.39481745705771337</v>
      </c>
      <c r="BX58" s="12">
        <f t="shared" si="24"/>
        <v>0.39484337025824801</v>
      </c>
      <c r="BY58" s="12">
        <f t="shared" si="24"/>
        <v>0.39484741020089792</v>
      </c>
      <c r="BZ58" s="12">
        <f t="shared" si="24"/>
        <v>0.39484804004704999</v>
      </c>
      <c r="CA58" s="12">
        <f t="shared" si="24"/>
        <v>0.39484813824322279</v>
      </c>
      <c r="CB58" s="12">
        <f t="shared" si="24"/>
        <v>0.39484815355250286</v>
      </c>
      <c r="CC58" s="12">
        <f t="shared" si="24"/>
        <v>0.39484815593929717</v>
      </c>
      <c r="CD58" s="12">
        <f t="shared" si="24"/>
        <v>0.39484815631141046</v>
      </c>
      <c r="CE58" s="12">
        <f t="shared" si="24"/>
        <v>0.39484815636942483</v>
      </c>
      <c r="CF58" s="12">
        <f t="shared" si="24"/>
        <v>0.39484815637846954</v>
      </c>
      <c r="CG58" s="12">
        <f t="shared" si="24"/>
        <v>0.39484815637987963</v>
      </c>
      <c r="CH58" s="12">
        <f t="shared" si="24"/>
        <v>0.39484815638009951</v>
      </c>
      <c r="CI58" s="12">
        <f t="shared" si="22"/>
        <v>0.39484815638013382</v>
      </c>
      <c r="CJ58" s="12">
        <f t="shared" si="22"/>
        <v>0.39484815638013915</v>
      </c>
      <c r="CK58" s="12">
        <f t="shared" si="22"/>
        <v>0.39484815638013998</v>
      </c>
      <c r="CL58" s="12">
        <f t="shared" si="22"/>
        <v>0.39484815638014015</v>
      </c>
      <c r="CM58" s="12">
        <f t="shared" si="22"/>
        <v>0.39484815638014015</v>
      </c>
      <c r="CN58" s="12">
        <f t="shared" si="22"/>
        <v>0.39484815638014015</v>
      </c>
      <c r="CO58" s="12">
        <f t="shared" si="22"/>
        <v>0.39484815638014015</v>
      </c>
      <c r="CP58" s="12">
        <f t="shared" si="22"/>
        <v>0.39484815638014015</v>
      </c>
      <c r="CQ58" s="12">
        <f t="shared" si="22"/>
        <v>0.39484815638014015</v>
      </c>
      <c r="CR58" s="12">
        <f t="shared" si="22"/>
        <v>0.39484815638014015</v>
      </c>
      <c r="CS58" s="12">
        <f t="shared" si="22"/>
        <v>0.39484815638014015</v>
      </c>
      <c r="CT58" s="12">
        <f t="shared" si="22"/>
        <v>0.39484815638014015</v>
      </c>
      <c r="CU58" s="11">
        <f t="shared" si="22"/>
        <v>0.39484815638014015</v>
      </c>
      <c r="CW58" s="16"/>
      <c r="CX58" s="11">
        <f t="shared" si="15"/>
        <v>300</v>
      </c>
      <c r="CY58" s="12">
        <f t="shared" si="16"/>
        <v>193.44454151540529</v>
      </c>
      <c r="CZ58" s="12">
        <f t="shared" si="16"/>
        <v>173.20077052461775</v>
      </c>
      <c r="DA58" s="12">
        <f t="shared" si="16"/>
        <v>163.68843106055775</v>
      </c>
      <c r="DB58" s="12">
        <f t="shared" si="16"/>
        <v>155.82167714194904</v>
      </c>
      <c r="DC58" s="12">
        <f t="shared" si="16"/>
        <v>148.32418654793494</v>
      </c>
      <c r="DD58" s="12">
        <f t="shared" si="16"/>
        <v>141.04011181826999</v>
      </c>
      <c r="DE58" s="12">
        <f t="shared" si="16"/>
        <v>133.97730375540289</v>
      </c>
      <c r="DF58" s="12">
        <f t="shared" si="16"/>
        <v>127.16555025152195</v>
      </c>
      <c r="DG58" s="12">
        <f t="shared" si="16"/>
        <v>120.6352034387297</v>
      </c>
      <c r="DH58" s="12">
        <f t="shared" si="16"/>
        <v>114.41370538840877</v>
      </c>
      <c r="DI58" s="12">
        <f t="shared" si="16"/>
        <v>108.52480945516899</v>
      </c>
      <c r="DJ58" s="12">
        <f t="shared" si="16"/>
        <v>102.98824506412041</v>
      </c>
      <c r="DK58" s="12">
        <f t="shared" si="16"/>
        <v>97.819494265442017</v>
      </c>
      <c r="DL58" s="12">
        <f t="shared" si="16"/>
        <v>93.02963221709885</v>
      </c>
      <c r="DM58" s="12">
        <f t="shared" si="16"/>
        <v>88.625225012625947</v>
      </c>
      <c r="DN58" s="12">
        <f t="shared" si="16"/>
        <v>84.608283648313645</v>
      </c>
      <c r="DO58" s="12">
        <f t="shared" si="20"/>
        <v>80.97627305093728</v>
      </c>
      <c r="DP58" s="12">
        <f t="shared" si="20"/>
        <v>77.722174507935733</v>
      </c>
      <c r="DQ58" s="12">
        <f t="shared" si="20"/>
        <v>74.834599237527385</v>
      </c>
      <c r="DR58" s="12">
        <f t="shared" si="20"/>
        <v>72.297950312292215</v>
      </c>
      <c r="DS58" s="12">
        <f t="shared" si="20"/>
        <v>70.092629723050663</v>
      </c>
      <c r="DT58" s="12">
        <f t="shared" si="20"/>
        <v>68.195287040548607</v>
      </c>
      <c r="DU58" s="12">
        <f t="shared" si="20"/>
        <v>66.579105894969487</v>
      </c>
      <c r="DV58" s="12">
        <f t="shared" si="20"/>
        <v>65.214124338581456</v>
      </c>
      <c r="DW58" s="12">
        <f t="shared" si="20"/>
        <v>64.067585073222389</v>
      </c>
      <c r="DX58" s="12">
        <f t="shared" si="20"/>
        <v>63.10431149836235</v>
      </c>
      <c r="DY58" s="12">
        <f t="shared" si="20"/>
        <v>62.287105552704574</v>
      </c>
      <c r="DZ58" s="12">
        <f t="shared" si="20"/>
        <v>61.577163368070174</v>
      </c>
      <c r="EA58" s="11">
        <f t="shared" si="20"/>
        <v>60.93450481465274</v>
      </c>
    </row>
    <row r="59" spans="5:131" x14ac:dyDescent="0.3">
      <c r="E59" s="16"/>
      <c r="F59" s="11">
        <f t="shared" si="17"/>
        <v>300</v>
      </c>
      <c r="G59" s="12">
        <f t="shared" si="23"/>
        <v>287.20458331783192</v>
      </c>
      <c r="H59" s="12">
        <f t="shared" si="23"/>
        <v>274.47945650127747</v>
      </c>
      <c r="I59" s="12">
        <f t="shared" si="23"/>
        <v>261.89403216396983</v>
      </c>
      <c r="J59" s="12">
        <f t="shared" si="23"/>
        <v>249.51598121594654</v>
      </c>
      <c r="K59" s="12">
        <f t="shared" si="23"/>
        <v>237.41039374200528</v>
      </c>
      <c r="L59" s="12">
        <f t="shared" si="23"/>
        <v>225.63897720725134</v>
      </c>
      <c r="M59" s="12">
        <f t="shared" si="23"/>
        <v>214.25930321091448</v>
      </c>
      <c r="N59" s="12">
        <f t="shared" si="23"/>
        <v>203.32411301536507</v>
      </c>
      <c r="O59" s="12">
        <f t="shared" si="23"/>
        <v>192.8806908976124</v>
      </c>
      <c r="P59" s="12">
        <f t="shared" si="23"/>
        <v>182.97031304318858</v>
      </c>
      <c r="Q59" s="12">
        <f t="shared" si="23"/>
        <v>173.62777826859929</v>
      </c>
      <c r="R59" s="12">
        <f t="shared" si="23"/>
        <v>164.88102536165582</v>
      </c>
      <c r="S59" s="12">
        <f t="shared" si="23"/>
        <v>156.75084031219725</v>
      </c>
      <c r="T59" s="12">
        <f t="shared" si="23"/>
        <v>149.25065521040028</v>
      </c>
      <c r="U59" s="12">
        <f t="shared" si="23"/>
        <v>142.3864391541251</v>
      </c>
      <c r="V59" s="12">
        <f t="shared" si="23"/>
        <v>136.15668016384507</v>
      </c>
      <c r="W59" s="12">
        <f t="shared" si="21"/>
        <v>130.55245588106155</v>
      </c>
      <c r="X59" s="12">
        <f t="shared" si="21"/>
        <v>125.55758974443728</v>
      </c>
      <c r="Y59" s="12">
        <f t="shared" si="21"/>
        <v>121.14888841078472</v>
      </c>
      <c r="Z59" s="12">
        <f t="shared" si="21"/>
        <v>117.2964554218869</v>
      </c>
      <c r="AA59" s="12">
        <f t="shared" si="21"/>
        <v>113.96407551228972</v>
      </c>
      <c r="AB59" s="12">
        <f t="shared" si="21"/>
        <v>111.10966350062377</v>
      </c>
      <c r="AC59" s="12">
        <f t="shared" si="21"/>
        <v>108.68577139501525</v>
      </c>
      <c r="AD59" s="12">
        <f t="shared" si="21"/>
        <v>106.64014715446092</v>
      </c>
      <c r="AE59" s="12">
        <f t="shared" si="21"/>
        <v>104.91633846201009</v>
      </c>
      <c r="AF59" s="12">
        <f t="shared" si="21"/>
        <v>103.45433485945046</v>
      </c>
      <c r="AG59" s="12">
        <f t="shared" si="21"/>
        <v>102.19124164338535</v>
      </c>
      <c r="AH59" s="12">
        <f t="shared" si="21"/>
        <v>101.06197900608419</v>
      </c>
      <c r="AI59" s="11">
        <f t="shared" si="18"/>
        <v>100</v>
      </c>
      <c r="AK59" s="17"/>
      <c r="AL59" s="11">
        <f t="shared" si="13"/>
        <v>-1076400000</v>
      </c>
      <c r="AM59" s="12">
        <f t="shared" si="13"/>
        <v>-1030218121.5702678</v>
      </c>
      <c r="AN59" s="12">
        <f t="shared" si="13"/>
        <v>-984291836.91536975</v>
      </c>
      <c r="AO59" s="12">
        <f t="shared" si="13"/>
        <v>-938873542.71053815</v>
      </c>
      <c r="AP59" s="12">
        <f t="shared" si="13"/>
        <v>-894209288.40698266</v>
      </c>
      <c r="AQ59" s="12">
        <f t="shared" si="13"/>
        <v>-850535719.05097461</v>
      </c>
      <c r="AR59" s="12">
        <f t="shared" si="13"/>
        <v>-808077155.03549767</v>
      </c>
      <c r="AS59" s="12">
        <f t="shared" si="13"/>
        <v>-767042849.88903475</v>
      </c>
      <c r="AT59" s="12">
        <f t="shared" si="13"/>
        <v>-727624463.51336563</v>
      </c>
      <c r="AU59" s="12">
        <f t="shared" si="13"/>
        <v>-689993783.90351915</v>
      </c>
      <c r="AV59" s="12">
        <f t="shared" si="13"/>
        <v>-654300725.46031284</v>
      </c>
      <c r="AW59" s="12">
        <f t="shared" si="13"/>
        <v>-620671626.69455945</v>
      </c>
      <c r="AX59" s="12">
        <f t="shared" si="13"/>
        <v>-589207864.58415508</v>
      </c>
      <c r="AY59" s="12">
        <f t="shared" si="13"/>
        <v>-559984797.24264014</v>
      </c>
      <c r="AZ59" s="12">
        <f t="shared" si="13"/>
        <v>-533051041.04541057</v>
      </c>
      <c r="BA59" s="12">
        <f t="shared" si="13"/>
        <v>-508428083.07949215</v>
      </c>
      <c r="BB59" s="12">
        <f t="shared" si="19"/>
        <v>-486110224.85845524</v>
      </c>
      <c r="BC59" s="12">
        <f t="shared" si="19"/>
        <v>-466064848.77701706</v>
      </c>
      <c r="BD59" s="12">
        <f t="shared" si="19"/>
        <v>-448232994.84626466</v>
      </c>
      <c r="BE59" s="12">
        <f t="shared" si="19"/>
        <v>-432530231.89937729</v>
      </c>
      <c r="BF59" s="12">
        <f t="shared" si="19"/>
        <v>-418847804.71114767</v>
      </c>
      <c r="BG59" s="12">
        <f t="shared" si="19"/>
        <v>-407054036.3281588</v>
      </c>
      <c r="BH59" s="12">
        <f t="shared" si="19"/>
        <v>-396995963.33166426</v>
      </c>
      <c r="BI59" s="12">
        <f t="shared" si="19"/>
        <v>-388501180.70256603</v>
      </c>
      <c r="BJ59" s="12">
        <f t="shared" si="19"/>
        <v>-381379872.36081278</v>
      </c>
      <c r="BK59" s="12">
        <f t="shared" si="19"/>
        <v>-375427003.23093903</v>
      </c>
      <c r="BL59" s="12">
        <f t="shared" si="19"/>
        <v>-370424648.75451559</v>
      </c>
      <c r="BM59" s="12">
        <f t="shared" si="19"/>
        <v>-366144438.03946036</v>
      </c>
      <c r="BN59" s="12">
        <f t="shared" si="19"/>
        <v>-362350087.21810418</v>
      </c>
      <c r="BO59" s="11">
        <f t="shared" si="19"/>
        <v>-358800000</v>
      </c>
      <c r="BQ59" s="16"/>
      <c r="BR59" s="11">
        <v>0</v>
      </c>
      <c r="BS59" s="12">
        <f t="shared" si="24"/>
        <v>0.3415922014622258</v>
      </c>
      <c r="BT59" s="12">
        <f t="shared" si="24"/>
        <v>0.3867162803971414</v>
      </c>
      <c r="BU59" s="12">
        <f t="shared" si="24"/>
        <v>0.39358441341045353</v>
      </c>
      <c r="BV59" s="12">
        <f t="shared" si="24"/>
        <v>0.39465123071155611</v>
      </c>
      <c r="BW59" s="12">
        <f t="shared" si="24"/>
        <v>0.39481745705771337</v>
      </c>
      <c r="BX59" s="12">
        <f t="shared" si="24"/>
        <v>0.39484337025824801</v>
      </c>
      <c r="BY59" s="12">
        <f t="shared" si="24"/>
        <v>0.39484741020089792</v>
      </c>
      <c r="BZ59" s="12">
        <f t="shared" si="24"/>
        <v>0.39484804004704999</v>
      </c>
      <c r="CA59" s="12">
        <f t="shared" si="24"/>
        <v>0.39484813824322279</v>
      </c>
      <c r="CB59" s="12">
        <f t="shared" si="24"/>
        <v>0.39484815355250286</v>
      </c>
      <c r="CC59" s="12">
        <f t="shared" si="24"/>
        <v>0.39484815593929717</v>
      </c>
      <c r="CD59" s="12">
        <f t="shared" si="24"/>
        <v>0.39484815631141046</v>
      </c>
      <c r="CE59" s="12">
        <f t="shared" si="24"/>
        <v>0.39484815636942483</v>
      </c>
      <c r="CF59" s="12">
        <f t="shared" si="24"/>
        <v>0.39484815637846954</v>
      </c>
      <c r="CG59" s="12">
        <f t="shared" si="24"/>
        <v>0.39484815637987963</v>
      </c>
      <c r="CH59" s="12">
        <f t="shared" si="24"/>
        <v>0.39484815638009951</v>
      </c>
      <c r="CI59" s="12">
        <f t="shared" si="22"/>
        <v>0.39484815638013382</v>
      </c>
      <c r="CJ59" s="12">
        <f t="shared" si="22"/>
        <v>0.39484815638013915</v>
      </c>
      <c r="CK59" s="12">
        <f t="shared" si="22"/>
        <v>0.39484815638013998</v>
      </c>
      <c r="CL59" s="12">
        <f t="shared" si="22"/>
        <v>0.39484815638014015</v>
      </c>
      <c r="CM59" s="12">
        <f t="shared" si="22"/>
        <v>0.39484815638014015</v>
      </c>
      <c r="CN59" s="12">
        <f t="shared" si="22"/>
        <v>0.39484815638014015</v>
      </c>
      <c r="CO59" s="12">
        <f t="shared" si="22"/>
        <v>0.39484815638014015</v>
      </c>
      <c r="CP59" s="12">
        <f t="shared" si="22"/>
        <v>0.39484815638014015</v>
      </c>
      <c r="CQ59" s="12">
        <f t="shared" si="22"/>
        <v>0.39484815638014015</v>
      </c>
      <c r="CR59" s="12">
        <f t="shared" si="22"/>
        <v>0.39484815638014015</v>
      </c>
      <c r="CS59" s="12">
        <f t="shared" si="22"/>
        <v>0.39484815638014015</v>
      </c>
      <c r="CT59" s="12">
        <f t="shared" si="22"/>
        <v>0.39484815638014015</v>
      </c>
      <c r="CU59" s="11">
        <f t="shared" si="22"/>
        <v>0.39484815638014015</v>
      </c>
      <c r="CW59" s="16"/>
      <c r="CX59" s="11">
        <f t="shared" si="15"/>
        <v>300</v>
      </c>
      <c r="CY59" s="12">
        <f t="shared" si="16"/>
        <v>193.44454151540529</v>
      </c>
      <c r="CZ59" s="12">
        <f t="shared" si="16"/>
        <v>173.20077052461778</v>
      </c>
      <c r="DA59" s="12">
        <f t="shared" si="16"/>
        <v>163.68843106055775</v>
      </c>
      <c r="DB59" s="12">
        <f t="shared" si="16"/>
        <v>155.82167714194904</v>
      </c>
      <c r="DC59" s="12">
        <f t="shared" si="16"/>
        <v>148.32418654793494</v>
      </c>
      <c r="DD59" s="12">
        <f t="shared" si="16"/>
        <v>141.04011181826999</v>
      </c>
      <c r="DE59" s="12">
        <f t="shared" si="16"/>
        <v>133.97730375540289</v>
      </c>
      <c r="DF59" s="12">
        <f t="shared" si="16"/>
        <v>127.16555025152195</v>
      </c>
      <c r="DG59" s="12">
        <f t="shared" si="16"/>
        <v>120.6352034387297</v>
      </c>
      <c r="DH59" s="12">
        <f t="shared" si="16"/>
        <v>114.41370538840877</v>
      </c>
      <c r="DI59" s="12">
        <f t="shared" si="16"/>
        <v>108.52480945516899</v>
      </c>
      <c r="DJ59" s="12">
        <f t="shared" si="16"/>
        <v>102.98824506412041</v>
      </c>
      <c r="DK59" s="12">
        <f t="shared" si="16"/>
        <v>97.819494265442017</v>
      </c>
      <c r="DL59" s="12">
        <f t="shared" si="16"/>
        <v>93.02963221709885</v>
      </c>
      <c r="DM59" s="12">
        <f t="shared" si="16"/>
        <v>88.625225012625947</v>
      </c>
      <c r="DN59" s="12">
        <f t="shared" si="16"/>
        <v>84.608283648313645</v>
      </c>
      <c r="DO59" s="12">
        <f t="shared" si="20"/>
        <v>80.97627305093728</v>
      </c>
      <c r="DP59" s="12">
        <f t="shared" si="20"/>
        <v>77.722174507935733</v>
      </c>
      <c r="DQ59" s="12">
        <f t="shared" si="20"/>
        <v>74.834599237527399</v>
      </c>
      <c r="DR59" s="12">
        <f t="shared" si="20"/>
        <v>72.29795031229223</v>
      </c>
      <c r="DS59" s="12">
        <f t="shared" si="20"/>
        <v>70.092629723050678</v>
      </c>
      <c r="DT59" s="12">
        <f t="shared" si="20"/>
        <v>68.195287040548621</v>
      </c>
      <c r="DU59" s="12">
        <f t="shared" si="20"/>
        <v>66.579105894969501</v>
      </c>
      <c r="DV59" s="12">
        <f t="shared" si="20"/>
        <v>65.214124338581456</v>
      </c>
      <c r="DW59" s="12">
        <f t="shared" si="20"/>
        <v>64.067585073222403</v>
      </c>
      <c r="DX59" s="12">
        <f t="shared" si="20"/>
        <v>63.10431149836235</v>
      </c>
      <c r="DY59" s="12">
        <f t="shared" si="20"/>
        <v>62.287105552704574</v>
      </c>
      <c r="DZ59" s="12">
        <f t="shared" si="20"/>
        <v>61.577163368070174</v>
      </c>
      <c r="EA59" s="11">
        <f t="shared" si="20"/>
        <v>60.93450481465274</v>
      </c>
    </row>
    <row r="60" spans="5:131" x14ac:dyDescent="0.3">
      <c r="E60" s="16"/>
      <c r="F60" s="11">
        <f t="shared" si="17"/>
        <v>300</v>
      </c>
      <c r="G60" s="12">
        <f t="shared" si="23"/>
        <v>287.20458331783192</v>
      </c>
      <c r="H60" s="12">
        <f t="shared" si="23"/>
        <v>274.47945650127747</v>
      </c>
      <c r="I60" s="12">
        <f t="shared" si="23"/>
        <v>261.89403216396983</v>
      </c>
      <c r="J60" s="12">
        <f t="shared" si="23"/>
        <v>249.51598121594654</v>
      </c>
      <c r="K60" s="12">
        <f t="shared" si="23"/>
        <v>237.41039374200528</v>
      </c>
      <c r="L60" s="12">
        <f t="shared" si="23"/>
        <v>225.63897720725134</v>
      </c>
      <c r="M60" s="12">
        <f t="shared" si="23"/>
        <v>214.25930321091448</v>
      </c>
      <c r="N60" s="12">
        <f t="shared" si="23"/>
        <v>203.32411301536513</v>
      </c>
      <c r="O60" s="12">
        <f t="shared" si="23"/>
        <v>192.8806908976124</v>
      </c>
      <c r="P60" s="12">
        <f t="shared" si="23"/>
        <v>182.97031304318858</v>
      </c>
      <c r="Q60" s="12">
        <f t="shared" si="23"/>
        <v>173.62777826859929</v>
      </c>
      <c r="R60" s="12">
        <f t="shared" si="23"/>
        <v>164.88102536165582</v>
      </c>
      <c r="S60" s="12">
        <f t="shared" si="23"/>
        <v>156.75084031219725</v>
      </c>
      <c r="T60" s="12">
        <f t="shared" si="23"/>
        <v>149.25065521040028</v>
      </c>
      <c r="U60" s="12">
        <f t="shared" si="23"/>
        <v>142.3864391541251</v>
      </c>
      <c r="V60" s="12">
        <f t="shared" si="23"/>
        <v>136.15668016384507</v>
      </c>
      <c r="W60" s="12">
        <f t="shared" si="21"/>
        <v>130.55245588106155</v>
      </c>
      <c r="X60" s="12">
        <f t="shared" si="21"/>
        <v>125.55758974443728</v>
      </c>
      <c r="Y60" s="12">
        <f t="shared" si="21"/>
        <v>121.14888841078472</v>
      </c>
      <c r="Z60" s="12">
        <f t="shared" si="21"/>
        <v>117.2964554218869</v>
      </c>
      <c r="AA60" s="12">
        <f t="shared" si="21"/>
        <v>113.96407551228972</v>
      </c>
      <c r="AB60" s="12">
        <f t="shared" si="21"/>
        <v>111.10966350062377</v>
      </c>
      <c r="AC60" s="12">
        <f t="shared" si="21"/>
        <v>108.68577139501525</v>
      </c>
      <c r="AD60" s="12">
        <f t="shared" si="21"/>
        <v>106.64014715446095</v>
      </c>
      <c r="AE60" s="12">
        <f t="shared" si="21"/>
        <v>104.91633846201009</v>
      </c>
      <c r="AF60" s="12">
        <f t="shared" si="21"/>
        <v>103.45433485945046</v>
      </c>
      <c r="AG60" s="12">
        <f t="shared" si="21"/>
        <v>102.19124164338535</v>
      </c>
      <c r="AH60" s="12">
        <f t="shared" si="21"/>
        <v>101.06197900608419</v>
      </c>
      <c r="AI60" s="11">
        <f t="shared" si="18"/>
        <v>100</v>
      </c>
      <c r="AK60" s="17"/>
      <c r="AL60" s="11">
        <f t="shared" si="13"/>
        <v>-1076400000</v>
      </c>
      <c r="AM60" s="12">
        <f t="shared" si="13"/>
        <v>-1030218121.5702678</v>
      </c>
      <c r="AN60" s="12">
        <f t="shared" si="13"/>
        <v>-984291836.91536975</v>
      </c>
      <c r="AO60" s="12">
        <f t="shared" si="13"/>
        <v>-938873542.71053815</v>
      </c>
      <c r="AP60" s="12">
        <f t="shared" si="13"/>
        <v>-894209288.40698266</v>
      </c>
      <c r="AQ60" s="12">
        <f t="shared" si="13"/>
        <v>-850535719.05097461</v>
      </c>
      <c r="AR60" s="12">
        <f t="shared" si="13"/>
        <v>-808077155.03549755</v>
      </c>
      <c r="AS60" s="12">
        <f t="shared" si="13"/>
        <v>-767042849.88903475</v>
      </c>
      <c r="AT60" s="12">
        <f t="shared" si="13"/>
        <v>-727624463.51336575</v>
      </c>
      <c r="AU60" s="12">
        <f t="shared" si="13"/>
        <v>-689993783.90351915</v>
      </c>
      <c r="AV60" s="12">
        <f t="shared" si="13"/>
        <v>-654300725.46031284</v>
      </c>
      <c r="AW60" s="12">
        <f t="shared" si="13"/>
        <v>-620671626.69455945</v>
      </c>
      <c r="AX60" s="12">
        <f t="shared" si="13"/>
        <v>-589207864.58415508</v>
      </c>
      <c r="AY60" s="12">
        <f t="shared" si="13"/>
        <v>-559984797.24264014</v>
      </c>
      <c r="AZ60" s="12">
        <f t="shared" si="13"/>
        <v>-533051041.04541057</v>
      </c>
      <c r="BA60" s="12">
        <f t="shared" si="13"/>
        <v>-508428083.07949215</v>
      </c>
      <c r="BB60" s="12">
        <f t="shared" si="19"/>
        <v>-486110224.85845524</v>
      </c>
      <c r="BC60" s="12">
        <f t="shared" si="19"/>
        <v>-466064848.77701706</v>
      </c>
      <c r="BD60" s="12">
        <f t="shared" si="19"/>
        <v>-448232994.84626472</v>
      </c>
      <c r="BE60" s="12">
        <f t="shared" si="19"/>
        <v>-432530231.89937729</v>
      </c>
      <c r="BF60" s="12">
        <f t="shared" si="19"/>
        <v>-418847804.71114773</v>
      </c>
      <c r="BG60" s="12">
        <f t="shared" si="19"/>
        <v>-407054036.3281588</v>
      </c>
      <c r="BH60" s="12">
        <f t="shared" si="19"/>
        <v>-396995963.33166426</v>
      </c>
      <c r="BI60" s="12">
        <f t="shared" si="19"/>
        <v>-388501180.70256603</v>
      </c>
      <c r="BJ60" s="12">
        <f t="shared" si="19"/>
        <v>-381379872.36081284</v>
      </c>
      <c r="BK60" s="12">
        <f t="shared" si="19"/>
        <v>-375427003.23093903</v>
      </c>
      <c r="BL60" s="12">
        <f t="shared" si="19"/>
        <v>-370424648.75451559</v>
      </c>
      <c r="BM60" s="12">
        <f t="shared" si="19"/>
        <v>-366144438.03946036</v>
      </c>
      <c r="BN60" s="12">
        <f t="shared" si="19"/>
        <v>-362350087.21810418</v>
      </c>
      <c r="BO60" s="11">
        <f t="shared" si="19"/>
        <v>-358800000</v>
      </c>
      <c r="BQ60" s="16"/>
      <c r="BR60" s="11">
        <v>0</v>
      </c>
      <c r="BS60" s="12">
        <f t="shared" si="24"/>
        <v>0.3415922014622258</v>
      </c>
      <c r="BT60" s="12">
        <f t="shared" si="24"/>
        <v>0.3867162803971414</v>
      </c>
      <c r="BU60" s="12">
        <f t="shared" si="24"/>
        <v>0.39358441341045353</v>
      </c>
      <c r="BV60" s="12">
        <f t="shared" si="24"/>
        <v>0.39465123071155611</v>
      </c>
      <c r="BW60" s="12">
        <f t="shared" si="24"/>
        <v>0.39481745705771337</v>
      </c>
      <c r="BX60" s="12">
        <f t="shared" si="24"/>
        <v>0.39484337025824801</v>
      </c>
      <c r="BY60" s="12">
        <f t="shared" si="24"/>
        <v>0.39484741020089792</v>
      </c>
      <c r="BZ60" s="12">
        <f t="shared" si="24"/>
        <v>0.39484804004704999</v>
      </c>
      <c r="CA60" s="12">
        <f t="shared" si="24"/>
        <v>0.39484813824322279</v>
      </c>
      <c r="CB60" s="12">
        <f t="shared" si="24"/>
        <v>0.39484815355250286</v>
      </c>
      <c r="CC60" s="12">
        <f t="shared" si="24"/>
        <v>0.39484815593929717</v>
      </c>
      <c r="CD60" s="12">
        <f t="shared" si="24"/>
        <v>0.39484815631141046</v>
      </c>
      <c r="CE60" s="12">
        <f t="shared" si="24"/>
        <v>0.39484815636942483</v>
      </c>
      <c r="CF60" s="12">
        <f t="shared" si="24"/>
        <v>0.39484815637846954</v>
      </c>
      <c r="CG60" s="12">
        <f t="shared" si="24"/>
        <v>0.39484815637987963</v>
      </c>
      <c r="CH60" s="12">
        <f t="shared" si="24"/>
        <v>0.39484815638009951</v>
      </c>
      <c r="CI60" s="12">
        <f t="shared" si="22"/>
        <v>0.39484815638013382</v>
      </c>
      <c r="CJ60" s="12">
        <f t="shared" si="22"/>
        <v>0.39484815638013915</v>
      </c>
      <c r="CK60" s="12">
        <f t="shared" si="22"/>
        <v>0.39484815638013998</v>
      </c>
      <c r="CL60" s="12">
        <f t="shared" si="22"/>
        <v>0.39484815638014015</v>
      </c>
      <c r="CM60" s="12">
        <f t="shared" si="22"/>
        <v>0.39484815638014015</v>
      </c>
      <c r="CN60" s="12">
        <f t="shared" si="22"/>
        <v>0.39484815638014015</v>
      </c>
      <c r="CO60" s="12">
        <f t="shared" si="22"/>
        <v>0.39484815638014015</v>
      </c>
      <c r="CP60" s="12">
        <f t="shared" si="22"/>
        <v>0.39484815638014015</v>
      </c>
      <c r="CQ60" s="12">
        <f t="shared" si="22"/>
        <v>0.39484815638014015</v>
      </c>
      <c r="CR60" s="12">
        <f t="shared" si="22"/>
        <v>0.39484815638014015</v>
      </c>
      <c r="CS60" s="12">
        <f t="shared" si="22"/>
        <v>0.39484815638014015</v>
      </c>
      <c r="CT60" s="12">
        <f t="shared" si="22"/>
        <v>0.39484815638014015</v>
      </c>
      <c r="CU60" s="11">
        <f t="shared" si="22"/>
        <v>0.39484815638014015</v>
      </c>
      <c r="CW60" s="16"/>
      <c r="CX60" s="11">
        <f t="shared" si="15"/>
        <v>300</v>
      </c>
      <c r="CY60" s="12">
        <f t="shared" si="16"/>
        <v>193.44454151540529</v>
      </c>
      <c r="CZ60" s="12">
        <f t="shared" si="16"/>
        <v>173.20077052461778</v>
      </c>
      <c r="DA60" s="12">
        <f t="shared" si="16"/>
        <v>163.68843106055775</v>
      </c>
      <c r="DB60" s="12">
        <f t="shared" si="16"/>
        <v>155.82167714194904</v>
      </c>
      <c r="DC60" s="12">
        <f t="shared" si="16"/>
        <v>148.32418654793494</v>
      </c>
      <c r="DD60" s="12">
        <f t="shared" si="16"/>
        <v>141.04011181826999</v>
      </c>
      <c r="DE60" s="12">
        <f t="shared" si="16"/>
        <v>133.97730375540289</v>
      </c>
      <c r="DF60" s="12">
        <f t="shared" si="16"/>
        <v>127.16555025152198</v>
      </c>
      <c r="DG60" s="12">
        <f t="shared" si="16"/>
        <v>120.6352034387297</v>
      </c>
      <c r="DH60" s="12">
        <f t="shared" si="16"/>
        <v>114.41370538840877</v>
      </c>
      <c r="DI60" s="12">
        <f t="shared" si="16"/>
        <v>108.52480945516899</v>
      </c>
      <c r="DJ60" s="12">
        <f t="shared" si="16"/>
        <v>102.98824506412041</v>
      </c>
      <c r="DK60" s="12">
        <f t="shared" si="16"/>
        <v>97.819494265442017</v>
      </c>
      <c r="DL60" s="12">
        <f t="shared" si="16"/>
        <v>93.02963221709885</v>
      </c>
      <c r="DM60" s="12">
        <f t="shared" si="16"/>
        <v>88.625225012625947</v>
      </c>
      <c r="DN60" s="12">
        <f t="shared" si="16"/>
        <v>84.608283648313645</v>
      </c>
      <c r="DO60" s="12">
        <f t="shared" si="20"/>
        <v>80.97627305093728</v>
      </c>
      <c r="DP60" s="12">
        <f t="shared" si="20"/>
        <v>77.722174507935733</v>
      </c>
      <c r="DQ60" s="12">
        <f t="shared" si="20"/>
        <v>74.834599237527399</v>
      </c>
      <c r="DR60" s="12">
        <f t="shared" si="20"/>
        <v>72.29795031229223</v>
      </c>
      <c r="DS60" s="12">
        <f t="shared" si="20"/>
        <v>70.092629723050678</v>
      </c>
      <c r="DT60" s="12">
        <f t="shared" si="20"/>
        <v>68.195287040548621</v>
      </c>
      <c r="DU60" s="12">
        <f t="shared" si="20"/>
        <v>66.579105894969501</v>
      </c>
      <c r="DV60" s="12">
        <f t="shared" si="20"/>
        <v>65.21412433858147</v>
      </c>
      <c r="DW60" s="12">
        <f t="shared" si="20"/>
        <v>64.067585073222418</v>
      </c>
      <c r="DX60" s="12">
        <f t="shared" si="20"/>
        <v>63.10431149836235</v>
      </c>
      <c r="DY60" s="12">
        <f t="shared" si="20"/>
        <v>62.287105552704574</v>
      </c>
      <c r="DZ60" s="12">
        <f t="shared" si="20"/>
        <v>61.577163368070174</v>
      </c>
      <c r="EA60" s="11">
        <f t="shared" si="20"/>
        <v>60.93450481465274</v>
      </c>
    </row>
    <row r="61" spans="5:131" x14ac:dyDescent="0.3">
      <c r="E61" s="16"/>
      <c r="F61" s="11">
        <f t="shared" si="17"/>
        <v>300</v>
      </c>
      <c r="G61" s="12">
        <f t="shared" si="23"/>
        <v>287.20458331783192</v>
      </c>
      <c r="H61" s="12">
        <f t="shared" si="23"/>
        <v>274.47945650127747</v>
      </c>
      <c r="I61" s="12">
        <f t="shared" si="23"/>
        <v>261.89403216396983</v>
      </c>
      <c r="J61" s="12">
        <f t="shared" si="23"/>
        <v>249.51598121594654</v>
      </c>
      <c r="K61" s="12">
        <f t="shared" si="23"/>
        <v>237.41039374200528</v>
      </c>
      <c r="L61" s="12">
        <f t="shared" si="23"/>
        <v>225.63897720725134</v>
      </c>
      <c r="M61" s="12">
        <f t="shared" si="23"/>
        <v>214.25930321091448</v>
      </c>
      <c r="N61" s="12">
        <f t="shared" si="23"/>
        <v>203.32411301536513</v>
      </c>
      <c r="O61" s="12">
        <f t="shared" si="23"/>
        <v>192.8806908976124</v>
      </c>
      <c r="P61" s="12">
        <f t="shared" si="23"/>
        <v>182.97031304318858</v>
      </c>
      <c r="Q61" s="12">
        <f t="shared" si="23"/>
        <v>173.62777826859929</v>
      </c>
      <c r="R61" s="12">
        <f t="shared" si="23"/>
        <v>164.88102536165582</v>
      </c>
      <c r="S61" s="12">
        <f t="shared" si="23"/>
        <v>156.75084031219725</v>
      </c>
      <c r="T61" s="12">
        <f t="shared" si="23"/>
        <v>149.25065521040028</v>
      </c>
      <c r="U61" s="12">
        <f t="shared" si="23"/>
        <v>142.3864391541251</v>
      </c>
      <c r="V61" s="12">
        <f t="shared" si="23"/>
        <v>136.15668016384507</v>
      </c>
      <c r="W61" s="12">
        <f t="shared" si="21"/>
        <v>130.55245588106155</v>
      </c>
      <c r="X61" s="12">
        <f t="shared" si="21"/>
        <v>125.55758974443729</v>
      </c>
      <c r="Y61" s="12">
        <f t="shared" si="21"/>
        <v>121.14888841078474</v>
      </c>
      <c r="Z61" s="12">
        <f t="shared" si="21"/>
        <v>117.2964554218869</v>
      </c>
      <c r="AA61" s="12">
        <f t="shared" si="21"/>
        <v>113.96407551228972</v>
      </c>
      <c r="AB61" s="12">
        <f t="shared" si="21"/>
        <v>111.10966350062377</v>
      </c>
      <c r="AC61" s="12">
        <f t="shared" si="21"/>
        <v>108.68577139501525</v>
      </c>
      <c r="AD61" s="12">
        <f t="shared" si="21"/>
        <v>106.64014715446095</v>
      </c>
      <c r="AE61" s="12">
        <f t="shared" si="21"/>
        <v>104.91633846201009</v>
      </c>
      <c r="AF61" s="12">
        <f t="shared" si="21"/>
        <v>103.45433485945046</v>
      </c>
      <c r="AG61" s="12">
        <f t="shared" si="21"/>
        <v>102.19124164338535</v>
      </c>
      <c r="AH61" s="12">
        <f t="shared" si="21"/>
        <v>101.06197900608419</v>
      </c>
      <c r="AI61" s="11">
        <f t="shared" si="18"/>
        <v>100</v>
      </c>
      <c r="AK61" s="17"/>
      <c r="AL61" s="11">
        <f t="shared" si="13"/>
        <v>-1076400000</v>
      </c>
      <c r="AM61" s="12">
        <f t="shared" si="13"/>
        <v>-1030218121.5702678</v>
      </c>
      <c r="AN61" s="12">
        <f t="shared" si="13"/>
        <v>-984291836.91536975</v>
      </c>
      <c r="AO61" s="12">
        <f t="shared" si="13"/>
        <v>-938873542.71053815</v>
      </c>
      <c r="AP61" s="12">
        <f t="shared" si="13"/>
        <v>-894209288.40698278</v>
      </c>
      <c r="AQ61" s="12">
        <f t="shared" si="13"/>
        <v>-850535719.05097461</v>
      </c>
      <c r="AR61" s="12">
        <f t="shared" si="13"/>
        <v>-808077155.03549755</v>
      </c>
      <c r="AS61" s="12">
        <f t="shared" si="13"/>
        <v>-767042849.88903475</v>
      </c>
      <c r="AT61" s="12">
        <f t="shared" si="13"/>
        <v>-727624463.51336575</v>
      </c>
      <c r="AU61" s="12">
        <f t="shared" si="13"/>
        <v>-689993783.90351915</v>
      </c>
      <c r="AV61" s="12">
        <f t="shared" si="13"/>
        <v>-654300725.46031284</v>
      </c>
      <c r="AW61" s="12">
        <f t="shared" si="13"/>
        <v>-620671626.69455945</v>
      </c>
      <c r="AX61" s="12">
        <f t="shared" si="13"/>
        <v>-589207864.58415508</v>
      </c>
      <c r="AY61" s="12">
        <f t="shared" si="13"/>
        <v>-559984797.24264014</v>
      </c>
      <c r="AZ61" s="12">
        <f t="shared" si="13"/>
        <v>-533051041.04541057</v>
      </c>
      <c r="BA61" s="12">
        <f t="shared" si="13"/>
        <v>-508428083.07949215</v>
      </c>
      <c r="BB61" s="12">
        <f t="shared" si="19"/>
        <v>-486110224.85845524</v>
      </c>
      <c r="BC61" s="12">
        <f t="shared" si="19"/>
        <v>-466064848.77701706</v>
      </c>
      <c r="BD61" s="12">
        <f t="shared" si="19"/>
        <v>-448232994.84626472</v>
      </c>
      <c r="BE61" s="12">
        <f t="shared" si="19"/>
        <v>-432530231.89937735</v>
      </c>
      <c r="BF61" s="12">
        <f t="shared" si="19"/>
        <v>-418847804.71114773</v>
      </c>
      <c r="BG61" s="12">
        <f t="shared" si="19"/>
        <v>-407054036.3281588</v>
      </c>
      <c r="BH61" s="12">
        <f t="shared" si="19"/>
        <v>-396995963.33166426</v>
      </c>
      <c r="BI61" s="12">
        <f t="shared" si="19"/>
        <v>-388501180.70256603</v>
      </c>
      <c r="BJ61" s="12">
        <f t="shared" si="19"/>
        <v>-381379872.36081284</v>
      </c>
      <c r="BK61" s="12">
        <f t="shared" si="19"/>
        <v>-375427003.23093903</v>
      </c>
      <c r="BL61" s="12">
        <f t="shared" si="19"/>
        <v>-370424648.75451559</v>
      </c>
      <c r="BM61" s="12">
        <f t="shared" si="19"/>
        <v>-366144438.03946036</v>
      </c>
      <c r="BN61" s="12">
        <f t="shared" si="19"/>
        <v>-362350087.21810418</v>
      </c>
      <c r="BO61" s="11">
        <f t="shared" si="19"/>
        <v>-358800000</v>
      </c>
      <c r="BQ61" s="16"/>
      <c r="BR61" s="11">
        <v>0</v>
      </c>
      <c r="BS61" s="12">
        <f t="shared" si="24"/>
        <v>0.3415922014622258</v>
      </c>
      <c r="BT61" s="12">
        <f t="shared" si="24"/>
        <v>0.3867162803971414</v>
      </c>
      <c r="BU61" s="12">
        <f t="shared" si="24"/>
        <v>0.39358441341045353</v>
      </c>
      <c r="BV61" s="12">
        <f t="shared" si="24"/>
        <v>0.39465123071155611</v>
      </c>
      <c r="BW61" s="12">
        <f t="shared" si="24"/>
        <v>0.39481745705771337</v>
      </c>
      <c r="BX61" s="12">
        <f t="shared" si="24"/>
        <v>0.39484337025824801</v>
      </c>
      <c r="BY61" s="12">
        <f t="shared" si="24"/>
        <v>0.39484741020089792</v>
      </c>
      <c r="BZ61" s="12">
        <f t="shared" si="24"/>
        <v>0.39484804004704999</v>
      </c>
      <c r="CA61" s="12">
        <f t="shared" si="24"/>
        <v>0.39484813824322279</v>
      </c>
      <c r="CB61" s="12">
        <f t="shared" si="24"/>
        <v>0.39484815355250286</v>
      </c>
      <c r="CC61" s="12">
        <f t="shared" si="24"/>
        <v>0.39484815593929717</v>
      </c>
      <c r="CD61" s="12">
        <f t="shared" si="24"/>
        <v>0.39484815631141046</v>
      </c>
      <c r="CE61" s="12">
        <f t="shared" si="24"/>
        <v>0.39484815636942483</v>
      </c>
      <c r="CF61" s="12">
        <f t="shared" si="24"/>
        <v>0.39484815637846954</v>
      </c>
      <c r="CG61" s="12">
        <f t="shared" si="24"/>
        <v>0.39484815637987963</v>
      </c>
      <c r="CH61" s="12">
        <f t="shared" si="24"/>
        <v>0.39484815638009951</v>
      </c>
      <c r="CI61" s="12">
        <f t="shared" si="22"/>
        <v>0.39484815638013382</v>
      </c>
      <c r="CJ61" s="12">
        <f t="shared" si="22"/>
        <v>0.39484815638013915</v>
      </c>
      <c r="CK61" s="12">
        <f t="shared" si="22"/>
        <v>0.39484815638013998</v>
      </c>
      <c r="CL61" s="12">
        <f t="shared" si="22"/>
        <v>0.39484815638014015</v>
      </c>
      <c r="CM61" s="12">
        <f t="shared" si="22"/>
        <v>0.39484815638014015</v>
      </c>
      <c r="CN61" s="12">
        <f t="shared" si="22"/>
        <v>0.39484815638014015</v>
      </c>
      <c r="CO61" s="12">
        <f t="shared" si="22"/>
        <v>0.39484815638014015</v>
      </c>
      <c r="CP61" s="12">
        <f t="shared" si="22"/>
        <v>0.39484815638014015</v>
      </c>
      <c r="CQ61" s="12">
        <f t="shared" si="22"/>
        <v>0.39484815638014015</v>
      </c>
      <c r="CR61" s="12">
        <f t="shared" si="22"/>
        <v>0.39484815638014015</v>
      </c>
      <c r="CS61" s="12">
        <f t="shared" si="22"/>
        <v>0.39484815638014015</v>
      </c>
      <c r="CT61" s="12">
        <f t="shared" si="22"/>
        <v>0.39484815638014015</v>
      </c>
      <c r="CU61" s="11">
        <f t="shared" si="22"/>
        <v>0.39484815638014015</v>
      </c>
      <c r="CW61" s="16"/>
      <c r="CX61" s="11">
        <f t="shared" si="15"/>
        <v>300</v>
      </c>
      <c r="CY61" s="12">
        <f t="shared" si="16"/>
        <v>193.44454151540529</v>
      </c>
      <c r="CZ61" s="12">
        <f t="shared" si="16"/>
        <v>173.20077052461778</v>
      </c>
      <c r="DA61" s="12">
        <f t="shared" si="16"/>
        <v>163.68843106055775</v>
      </c>
      <c r="DB61" s="12">
        <f t="shared" si="16"/>
        <v>155.82167714194904</v>
      </c>
      <c r="DC61" s="12">
        <f t="shared" si="16"/>
        <v>148.32418654793494</v>
      </c>
      <c r="DD61" s="12">
        <f t="shared" si="16"/>
        <v>141.04011181826999</v>
      </c>
      <c r="DE61" s="12">
        <f t="shared" si="16"/>
        <v>133.97730375540289</v>
      </c>
      <c r="DF61" s="12">
        <f t="shared" si="16"/>
        <v>127.16555025152198</v>
      </c>
      <c r="DG61" s="12">
        <f t="shared" si="16"/>
        <v>120.6352034387297</v>
      </c>
      <c r="DH61" s="12">
        <f t="shared" si="16"/>
        <v>114.41370538840877</v>
      </c>
      <c r="DI61" s="12">
        <f t="shared" si="16"/>
        <v>108.52480945516899</v>
      </c>
      <c r="DJ61" s="12">
        <f t="shared" si="16"/>
        <v>102.98824506412041</v>
      </c>
      <c r="DK61" s="12">
        <f t="shared" si="16"/>
        <v>97.819494265442017</v>
      </c>
      <c r="DL61" s="12">
        <f t="shared" si="16"/>
        <v>93.02963221709885</v>
      </c>
      <c r="DM61" s="12">
        <f t="shared" si="16"/>
        <v>88.625225012625947</v>
      </c>
      <c r="DN61" s="12">
        <f t="shared" si="16"/>
        <v>84.608283648313645</v>
      </c>
      <c r="DO61" s="12">
        <f t="shared" si="20"/>
        <v>80.97627305093728</v>
      </c>
      <c r="DP61" s="12">
        <f t="shared" si="20"/>
        <v>77.722174507935733</v>
      </c>
      <c r="DQ61" s="12">
        <f t="shared" si="20"/>
        <v>74.834599237527414</v>
      </c>
      <c r="DR61" s="12">
        <f t="shared" si="20"/>
        <v>72.29795031229223</v>
      </c>
      <c r="DS61" s="12">
        <f t="shared" si="20"/>
        <v>70.092629723050678</v>
      </c>
      <c r="DT61" s="12">
        <f t="shared" si="20"/>
        <v>68.195287040548621</v>
      </c>
      <c r="DU61" s="12">
        <f t="shared" si="20"/>
        <v>66.579105894969501</v>
      </c>
      <c r="DV61" s="12">
        <f t="shared" si="20"/>
        <v>65.21412433858147</v>
      </c>
      <c r="DW61" s="12">
        <f t="shared" si="20"/>
        <v>64.067585073222418</v>
      </c>
      <c r="DX61" s="12">
        <f t="shared" si="20"/>
        <v>63.10431149836235</v>
      </c>
      <c r="DY61" s="12">
        <f t="shared" si="20"/>
        <v>62.287105552704574</v>
      </c>
      <c r="DZ61" s="12">
        <f t="shared" si="20"/>
        <v>61.577163368070174</v>
      </c>
      <c r="EA61" s="11">
        <f t="shared" si="20"/>
        <v>60.93450481465274</v>
      </c>
    </row>
    <row r="62" spans="5:131" x14ac:dyDescent="0.3">
      <c r="E62" s="16"/>
      <c r="F62" s="11">
        <f t="shared" si="17"/>
        <v>300</v>
      </c>
      <c r="G62" s="11">
        <f t="shared" si="23"/>
        <v>287.20458331783192</v>
      </c>
      <c r="H62" s="11">
        <f t="shared" si="23"/>
        <v>274.47945650127747</v>
      </c>
      <c r="I62" s="11">
        <f t="shared" si="23"/>
        <v>261.89403216396983</v>
      </c>
      <c r="J62" s="11">
        <f t="shared" si="23"/>
        <v>249.51598121594654</v>
      </c>
      <c r="K62" s="11">
        <f t="shared" si="23"/>
        <v>237.41039374200528</v>
      </c>
      <c r="L62" s="11">
        <f t="shared" si="23"/>
        <v>225.63897720725134</v>
      </c>
      <c r="M62" s="11">
        <f t="shared" si="23"/>
        <v>214.25930321091448</v>
      </c>
      <c r="N62" s="11">
        <f t="shared" si="23"/>
        <v>203.32411301536513</v>
      </c>
      <c r="O62" s="11">
        <f t="shared" si="23"/>
        <v>192.8806908976124</v>
      </c>
      <c r="P62" s="11">
        <f t="shared" si="23"/>
        <v>182.97031304318858</v>
      </c>
      <c r="Q62" s="11">
        <f t="shared" si="23"/>
        <v>173.62777826859929</v>
      </c>
      <c r="R62" s="11">
        <f t="shared" si="23"/>
        <v>164.88102536165582</v>
      </c>
      <c r="S62" s="11">
        <f t="shared" si="23"/>
        <v>156.75084031219725</v>
      </c>
      <c r="T62" s="11">
        <f t="shared" si="23"/>
        <v>149.25065521040028</v>
      </c>
      <c r="U62" s="11">
        <f t="shared" si="23"/>
        <v>142.3864391541251</v>
      </c>
      <c r="V62" s="11">
        <f t="shared" si="23"/>
        <v>136.15668016384507</v>
      </c>
      <c r="W62" s="11">
        <f t="shared" si="21"/>
        <v>130.55245588106155</v>
      </c>
      <c r="X62" s="11">
        <f t="shared" si="21"/>
        <v>125.55758974443729</v>
      </c>
      <c r="Y62" s="11">
        <f t="shared" si="21"/>
        <v>121.14888841078474</v>
      </c>
      <c r="Z62" s="11">
        <f t="shared" si="21"/>
        <v>117.2964554218869</v>
      </c>
      <c r="AA62" s="11">
        <f t="shared" si="21"/>
        <v>113.96407551228972</v>
      </c>
      <c r="AB62" s="11">
        <f t="shared" si="21"/>
        <v>111.10966350062377</v>
      </c>
      <c r="AC62" s="11">
        <f t="shared" si="21"/>
        <v>108.68577139501525</v>
      </c>
      <c r="AD62" s="11">
        <f t="shared" si="21"/>
        <v>106.64014715446095</v>
      </c>
      <c r="AE62" s="11">
        <f t="shared" si="21"/>
        <v>104.91633846201009</v>
      </c>
      <c r="AF62" s="11">
        <f t="shared" si="21"/>
        <v>103.45433485945046</v>
      </c>
      <c r="AG62" s="11">
        <f t="shared" si="21"/>
        <v>102.19124164338535</v>
      </c>
      <c r="AH62" s="11">
        <f t="shared" si="21"/>
        <v>101.06197900608419</v>
      </c>
      <c r="AI62" s="11">
        <f t="shared" si="18"/>
        <v>100</v>
      </c>
      <c r="AK62" s="17"/>
      <c r="AL62" s="11">
        <f t="shared" si="13"/>
        <v>-1076400000</v>
      </c>
      <c r="AM62" s="11">
        <f t="shared" si="13"/>
        <v>-1030218121.5702678</v>
      </c>
      <c r="AN62" s="11">
        <f t="shared" si="13"/>
        <v>-984291836.91536975</v>
      </c>
      <c r="AO62" s="11">
        <f t="shared" si="13"/>
        <v>-938873542.71053815</v>
      </c>
      <c r="AP62" s="11">
        <f t="shared" si="13"/>
        <v>-894209288.40698278</v>
      </c>
      <c r="AQ62" s="11">
        <f t="shared" si="13"/>
        <v>-850535719.05097461</v>
      </c>
      <c r="AR62" s="11">
        <f t="shared" si="13"/>
        <v>-808077155.03549755</v>
      </c>
      <c r="AS62" s="11">
        <f t="shared" si="13"/>
        <v>-767042849.88903475</v>
      </c>
      <c r="AT62" s="11">
        <f t="shared" si="13"/>
        <v>-727624463.51336575</v>
      </c>
      <c r="AU62" s="11">
        <f t="shared" si="13"/>
        <v>-689993783.90351915</v>
      </c>
      <c r="AV62" s="11">
        <f t="shared" si="13"/>
        <v>-654300725.46031284</v>
      </c>
      <c r="AW62" s="11">
        <f t="shared" si="13"/>
        <v>-620671626.69455945</v>
      </c>
      <c r="AX62" s="11">
        <f t="shared" si="13"/>
        <v>-589207864.58415508</v>
      </c>
      <c r="AY62" s="11">
        <f t="shared" si="13"/>
        <v>-559984797.24264014</v>
      </c>
      <c r="AZ62" s="11">
        <f t="shared" si="13"/>
        <v>-533051041.04541057</v>
      </c>
      <c r="BA62" s="11">
        <f t="shared" si="13"/>
        <v>-508428083.07949215</v>
      </c>
      <c r="BB62" s="11">
        <f t="shared" si="19"/>
        <v>-486110224.85845524</v>
      </c>
      <c r="BC62" s="11">
        <f t="shared" si="19"/>
        <v>-466064848.77701706</v>
      </c>
      <c r="BD62" s="11">
        <f t="shared" si="19"/>
        <v>-448232994.84626472</v>
      </c>
      <c r="BE62" s="11">
        <f t="shared" si="19"/>
        <v>-432530231.89937735</v>
      </c>
      <c r="BF62" s="11">
        <f t="shared" si="19"/>
        <v>-418847804.71114773</v>
      </c>
      <c r="BG62" s="11">
        <f t="shared" si="19"/>
        <v>-407054036.3281588</v>
      </c>
      <c r="BH62" s="11">
        <f t="shared" si="19"/>
        <v>-396995963.33166426</v>
      </c>
      <c r="BI62" s="11">
        <f t="shared" si="19"/>
        <v>-388501180.70256603</v>
      </c>
      <c r="BJ62" s="11">
        <f t="shared" si="19"/>
        <v>-381379872.36081284</v>
      </c>
      <c r="BK62" s="11">
        <f t="shared" si="19"/>
        <v>-375427003.23093903</v>
      </c>
      <c r="BL62" s="11">
        <f t="shared" si="19"/>
        <v>-370424648.75451559</v>
      </c>
      <c r="BM62" s="11">
        <f t="shared" si="19"/>
        <v>-366144438.03946036</v>
      </c>
      <c r="BN62" s="11">
        <f t="shared" si="19"/>
        <v>-362350087.21810418</v>
      </c>
      <c r="BO62" s="11">
        <f t="shared" si="19"/>
        <v>-358800000</v>
      </c>
      <c r="BQ62" s="16"/>
      <c r="BR62" s="11">
        <v>0</v>
      </c>
      <c r="BS62" s="11">
        <f t="shared" si="24"/>
        <v>0.3415922014622258</v>
      </c>
      <c r="BT62" s="11">
        <f t="shared" si="24"/>
        <v>0.3867162803971414</v>
      </c>
      <c r="BU62" s="11">
        <f t="shared" si="24"/>
        <v>0.39358441341045353</v>
      </c>
      <c r="BV62" s="11">
        <f t="shared" si="24"/>
        <v>0.39465123071155611</v>
      </c>
      <c r="BW62" s="11">
        <f t="shared" si="24"/>
        <v>0.39481745705771337</v>
      </c>
      <c r="BX62" s="11">
        <f t="shared" si="24"/>
        <v>0.39484337025824801</v>
      </c>
      <c r="BY62" s="11">
        <f t="shared" si="24"/>
        <v>0.39484741020089792</v>
      </c>
      <c r="BZ62" s="11">
        <f t="shared" si="24"/>
        <v>0.39484804004704999</v>
      </c>
      <c r="CA62" s="11">
        <f t="shared" si="24"/>
        <v>0.39484813824322279</v>
      </c>
      <c r="CB62" s="11">
        <f t="shared" si="24"/>
        <v>0.39484815355250286</v>
      </c>
      <c r="CC62" s="11">
        <f t="shared" si="24"/>
        <v>0.39484815593929717</v>
      </c>
      <c r="CD62" s="11">
        <f t="shared" si="24"/>
        <v>0.39484815631141046</v>
      </c>
      <c r="CE62" s="11">
        <f t="shared" si="24"/>
        <v>0.39484815636942483</v>
      </c>
      <c r="CF62" s="11">
        <f t="shared" si="24"/>
        <v>0.39484815637846954</v>
      </c>
      <c r="CG62" s="11">
        <f t="shared" si="24"/>
        <v>0.39484815637987963</v>
      </c>
      <c r="CH62" s="11">
        <f t="shared" si="24"/>
        <v>0.39484815638009951</v>
      </c>
      <c r="CI62" s="11">
        <f t="shared" si="22"/>
        <v>0.39484815638013382</v>
      </c>
      <c r="CJ62" s="11">
        <f t="shared" si="22"/>
        <v>0.39484815638013915</v>
      </c>
      <c r="CK62" s="11">
        <f t="shared" si="22"/>
        <v>0.39484815638013998</v>
      </c>
      <c r="CL62" s="11">
        <f t="shared" si="22"/>
        <v>0.39484815638014015</v>
      </c>
      <c r="CM62" s="11">
        <f t="shared" si="22"/>
        <v>0.39484815638014015</v>
      </c>
      <c r="CN62" s="11">
        <f t="shared" si="22"/>
        <v>0.39484815638014015</v>
      </c>
      <c r="CO62" s="11">
        <f t="shared" si="22"/>
        <v>0.39484815638014015</v>
      </c>
      <c r="CP62" s="11">
        <f t="shared" si="22"/>
        <v>0.39484815638014015</v>
      </c>
      <c r="CQ62" s="11">
        <f t="shared" si="22"/>
        <v>0.39484815638014015</v>
      </c>
      <c r="CR62" s="11">
        <f t="shared" si="22"/>
        <v>0.39484815638014015</v>
      </c>
      <c r="CS62" s="11">
        <f t="shared" si="22"/>
        <v>0.39484815638014015</v>
      </c>
      <c r="CT62" s="11">
        <f t="shared" si="22"/>
        <v>0.39484815638014015</v>
      </c>
      <c r="CU62" s="11">
        <f t="shared" si="22"/>
        <v>0.39484815638014015</v>
      </c>
      <c r="CW62" s="16"/>
      <c r="CX62" s="11">
        <f t="shared" si="15"/>
        <v>300</v>
      </c>
      <c r="CY62" s="11">
        <f t="shared" si="16"/>
        <v>193.44454151540529</v>
      </c>
      <c r="CZ62" s="11">
        <f t="shared" si="16"/>
        <v>173.20077052461778</v>
      </c>
      <c r="DA62" s="11">
        <f t="shared" si="16"/>
        <v>163.68843106055775</v>
      </c>
      <c r="DB62" s="11">
        <f t="shared" si="16"/>
        <v>155.82167714194904</v>
      </c>
      <c r="DC62" s="11">
        <f t="shared" si="16"/>
        <v>148.32418654793494</v>
      </c>
      <c r="DD62" s="11">
        <f t="shared" si="16"/>
        <v>141.04011181826999</v>
      </c>
      <c r="DE62" s="11">
        <f t="shared" si="16"/>
        <v>133.97730375540289</v>
      </c>
      <c r="DF62" s="11">
        <f t="shared" si="16"/>
        <v>127.16555025152198</v>
      </c>
      <c r="DG62" s="11">
        <f t="shared" si="16"/>
        <v>120.6352034387297</v>
      </c>
      <c r="DH62" s="11">
        <f t="shared" si="16"/>
        <v>114.41370538840877</v>
      </c>
      <c r="DI62" s="11">
        <f t="shared" si="16"/>
        <v>108.52480945516899</v>
      </c>
      <c r="DJ62" s="11">
        <f t="shared" si="16"/>
        <v>102.98824506412041</v>
      </c>
      <c r="DK62" s="11">
        <f t="shared" si="16"/>
        <v>97.819494265442017</v>
      </c>
      <c r="DL62" s="11">
        <f t="shared" si="16"/>
        <v>93.02963221709885</v>
      </c>
      <c r="DM62" s="11">
        <f t="shared" si="16"/>
        <v>88.625225012625947</v>
      </c>
      <c r="DN62" s="11">
        <f t="shared" si="16"/>
        <v>84.608283648313645</v>
      </c>
      <c r="DO62" s="11">
        <f t="shared" si="20"/>
        <v>80.97627305093728</v>
      </c>
      <c r="DP62" s="11">
        <f t="shared" si="20"/>
        <v>77.722174507935733</v>
      </c>
      <c r="DQ62" s="11">
        <f t="shared" si="20"/>
        <v>74.834599237527414</v>
      </c>
      <c r="DR62" s="11">
        <f t="shared" si="20"/>
        <v>72.29795031229223</v>
      </c>
      <c r="DS62" s="11">
        <f t="shared" si="20"/>
        <v>70.092629723050678</v>
      </c>
      <c r="DT62" s="11">
        <f t="shared" si="20"/>
        <v>68.195287040548621</v>
      </c>
      <c r="DU62" s="11">
        <f t="shared" si="20"/>
        <v>66.579105894969501</v>
      </c>
      <c r="DV62" s="11">
        <f t="shared" si="20"/>
        <v>65.21412433858147</v>
      </c>
      <c r="DW62" s="11">
        <f t="shared" si="20"/>
        <v>64.067585073222418</v>
      </c>
      <c r="DX62" s="11">
        <f t="shared" si="20"/>
        <v>63.10431149836235</v>
      </c>
      <c r="DY62" s="11">
        <f t="shared" si="20"/>
        <v>62.287105552704574</v>
      </c>
      <c r="DZ62" s="11">
        <f t="shared" si="20"/>
        <v>61.577163368070174</v>
      </c>
      <c r="EA62" s="11">
        <f t="shared" si="20"/>
        <v>60.93450481465274</v>
      </c>
    </row>
    <row r="64" spans="5:131" x14ac:dyDescent="0.3">
      <c r="E64" s="16"/>
      <c r="F64" s="11">
        <f t="shared" ref="F64:AH64" si="25">CX65/(1-BR65)</f>
        <v>300</v>
      </c>
      <c r="G64" s="11">
        <f t="shared" si="25"/>
        <v>287.20458331783169</v>
      </c>
      <c r="H64" s="11">
        <f t="shared" si="25"/>
        <v>274.47945650127718</v>
      </c>
      <c r="I64" s="11">
        <f t="shared" si="25"/>
        <v>261.8940321639696</v>
      </c>
      <c r="J64" s="11">
        <f t="shared" si="25"/>
        <v>249.51598121594631</v>
      </c>
      <c r="K64" s="11">
        <f t="shared" si="25"/>
        <v>237.41039374200503</v>
      </c>
      <c r="L64" s="11">
        <f t="shared" si="25"/>
        <v>225.63897720725103</v>
      </c>
      <c r="M64" s="11">
        <f t="shared" si="25"/>
        <v>214.25930321091406</v>
      </c>
      <c r="N64" s="11">
        <f t="shared" si="25"/>
        <v>203.32411301536479</v>
      </c>
      <c r="O64" s="11">
        <f t="shared" si="25"/>
        <v>192.88069089761203</v>
      </c>
      <c r="P64" s="11">
        <f t="shared" si="25"/>
        <v>182.97031304318824</v>
      </c>
      <c r="Q64" s="11">
        <f t="shared" si="25"/>
        <v>173.62777826859889</v>
      </c>
      <c r="R64" s="11">
        <f t="shared" si="25"/>
        <v>164.88102536165539</v>
      </c>
      <c r="S64" s="11">
        <f t="shared" si="25"/>
        <v>156.75084031219683</v>
      </c>
      <c r="T64" s="11">
        <f t="shared" si="25"/>
        <v>149.25065521039988</v>
      </c>
      <c r="U64" s="11">
        <f t="shared" si="25"/>
        <v>142.38643915412473</v>
      </c>
      <c r="V64" s="11">
        <f t="shared" si="25"/>
        <v>136.1566801638447</v>
      </c>
      <c r="W64" s="11">
        <f t="shared" si="25"/>
        <v>130.55245588106118</v>
      </c>
      <c r="X64" s="11">
        <f t="shared" si="25"/>
        <v>125.55758974443694</v>
      </c>
      <c r="Y64" s="11">
        <f t="shared" si="25"/>
        <v>121.14888841078439</v>
      </c>
      <c r="Z64" s="11">
        <f t="shared" si="25"/>
        <v>117.29645542188662</v>
      </c>
      <c r="AA64" s="11">
        <f t="shared" si="25"/>
        <v>113.96407551228947</v>
      </c>
      <c r="AB64" s="11">
        <f t="shared" si="25"/>
        <v>111.1096635006235</v>
      </c>
      <c r="AC64" s="11">
        <f t="shared" si="25"/>
        <v>108.68577139501504</v>
      </c>
      <c r="AD64" s="11">
        <f t="shared" si="25"/>
        <v>106.64014715446075</v>
      </c>
      <c r="AE64" s="11">
        <f t="shared" si="25"/>
        <v>104.91633846200988</v>
      </c>
      <c r="AF64" s="11">
        <f t="shared" si="25"/>
        <v>103.4543348594503</v>
      </c>
      <c r="AG64" s="11">
        <f t="shared" si="25"/>
        <v>102.19124164338524</v>
      </c>
      <c r="AH64" s="11">
        <f t="shared" si="25"/>
        <v>101.06197900608413</v>
      </c>
      <c r="AI64" s="11">
        <f>EA65/(1-CU65)</f>
        <v>99.999999999999986</v>
      </c>
      <c r="AK64" s="18"/>
      <c r="AL64" s="11">
        <f>-($C$10*$C$9*F33)/($C$7)</f>
        <v>-1076400000</v>
      </c>
      <c r="AM64" s="11">
        <f t="shared" ref="AM64:BB79" si="26">-($C$10*$C$9*G33)/($C$7)</f>
        <v>-1030490044.9443803</v>
      </c>
      <c r="AN64" s="11">
        <f t="shared" si="26"/>
        <v>-984832289.92658269</v>
      </c>
      <c r="AO64" s="11">
        <f t="shared" si="26"/>
        <v>-939675787.40432286</v>
      </c>
      <c r="AP64" s="11">
        <f t="shared" si="26"/>
        <v>-895263340.60281527</v>
      </c>
      <c r="AQ64" s="11">
        <f t="shared" si="26"/>
        <v>-851828492.74631393</v>
      </c>
      <c r="AR64" s="11">
        <f t="shared" si="26"/>
        <v>-809592650.21961665</v>
      </c>
      <c r="AS64" s="11">
        <f t="shared" si="26"/>
        <v>-768762379.92075968</v>
      </c>
      <c r="AT64" s="11">
        <f t="shared" si="26"/>
        <v>-729526917.4991287</v>
      </c>
      <c r="AU64" s="11">
        <f t="shared" si="26"/>
        <v>-692055918.94063199</v>
      </c>
      <c r="AV64" s="11">
        <f t="shared" si="26"/>
        <v>-656497483.19895935</v>
      </c>
      <c r="AW64" s="11">
        <f t="shared" si="26"/>
        <v>-622976468.42773283</v>
      </c>
      <c r="AX64" s="11">
        <f t="shared" si="26"/>
        <v>-591593118.99761951</v>
      </c>
      <c r="AY64" s="11">
        <f t="shared" si="26"/>
        <v>-562422015.04016221</v>
      </c>
      <c r="AZ64" s="11">
        <f t="shared" si="26"/>
        <v>-535511350.89491481</v>
      </c>
      <c r="BA64" s="11">
        <f t="shared" si="26"/>
        <v>-510882543.68499953</v>
      </c>
      <c r="BB64" s="11">
        <f t="shared" si="26"/>
        <v>-488530168.42787486</v>
      </c>
      <c r="BC64" s="11">
        <f t="shared" ref="BC64:BO79" si="27">-($C$10*$C$9*W33)/($C$7)</f>
        <v>-468422211.70124751</v>
      </c>
      <c r="BD64" s="11">
        <f t="shared" si="27"/>
        <v>-450500632.00303972</v>
      </c>
      <c r="BE64" s="11">
        <f t="shared" si="27"/>
        <v>-434682211.61789441</v>
      </c>
      <c r="BF64" s="11">
        <f t="shared" si="27"/>
        <v>-420859682.05372912</v>
      </c>
      <c r="BG64" s="11">
        <f t="shared" si="27"/>
        <v>-408903102.93809456</v>
      </c>
      <c r="BH64" s="11">
        <f t="shared" si="27"/>
        <v>-398661472.64023721</v>
      </c>
      <c r="BI64" s="11">
        <f t="shared" si="27"/>
        <v>-389964547.76531392</v>
      </c>
      <c r="BJ64" s="11">
        <f t="shared" si="27"/>
        <v>-382624847.99020511</v>
      </c>
      <c r="BK64" s="11">
        <f t="shared" si="27"/>
        <v>-376439822.4016915</v>
      </c>
      <c r="BL64" s="11">
        <f t="shared" si="27"/>
        <v>-371194153.47570771</v>
      </c>
      <c r="BM64" s="11">
        <f t="shared" si="27"/>
        <v>-366662175.01646626</v>
      </c>
      <c r="BN64" s="11">
        <f t="shared" si="27"/>
        <v>-362610380.67382985</v>
      </c>
      <c r="BO64" s="11">
        <f t="shared" si="27"/>
        <v>-358800000</v>
      </c>
      <c r="BQ64" s="16"/>
      <c r="BR64" s="11">
        <f t="shared" ref="BR64:CG79" si="28">$C$20/($C$21-$C$22*BR65)</f>
        <v>0.39484815638014015</v>
      </c>
      <c r="BS64" s="11">
        <f t="shared" si="28"/>
        <v>0.39484815638014015</v>
      </c>
      <c r="BT64" s="11">
        <f t="shared" si="28"/>
        <v>0.39484815638014015</v>
      </c>
      <c r="BU64" s="11">
        <f t="shared" si="28"/>
        <v>0.39484815638014015</v>
      </c>
      <c r="BV64" s="11">
        <f t="shared" si="28"/>
        <v>0.39484815638014015</v>
      </c>
      <c r="BW64" s="11">
        <f t="shared" si="28"/>
        <v>0.39484815638014015</v>
      </c>
      <c r="BX64" s="11">
        <f t="shared" si="28"/>
        <v>0.39484815638014015</v>
      </c>
      <c r="BY64" s="11">
        <f t="shared" si="28"/>
        <v>0.39484815638014015</v>
      </c>
      <c r="BZ64" s="11">
        <f t="shared" si="28"/>
        <v>0.39484815638014015</v>
      </c>
      <c r="CA64" s="11">
        <f t="shared" si="28"/>
        <v>0.39484815638014015</v>
      </c>
      <c r="CB64" s="11">
        <f t="shared" si="28"/>
        <v>0.39484815638014015</v>
      </c>
      <c r="CC64" s="11">
        <f t="shared" si="28"/>
        <v>0.39484815638014015</v>
      </c>
      <c r="CD64" s="11">
        <f t="shared" si="28"/>
        <v>0.39484815638014015</v>
      </c>
      <c r="CE64" s="11">
        <f t="shared" si="28"/>
        <v>0.39484815638014015</v>
      </c>
      <c r="CF64" s="11">
        <f t="shared" si="28"/>
        <v>0.39484815638014015</v>
      </c>
      <c r="CG64" s="11">
        <f t="shared" si="28"/>
        <v>0.39484815638014015</v>
      </c>
      <c r="CH64" s="11">
        <f t="shared" ref="CH64:CU82" si="29">$C$20/($C$21-$C$22*CH65)</f>
        <v>0.39484815638014015</v>
      </c>
      <c r="CI64" s="11">
        <f t="shared" si="29"/>
        <v>0.39484815638014015</v>
      </c>
      <c r="CJ64" s="11">
        <f t="shared" si="29"/>
        <v>0.39484815638014015</v>
      </c>
      <c r="CK64" s="11">
        <f t="shared" si="29"/>
        <v>0.39484815638014015</v>
      </c>
      <c r="CL64" s="11">
        <f t="shared" si="29"/>
        <v>0.39484815638014015</v>
      </c>
      <c r="CM64" s="11">
        <f t="shared" si="29"/>
        <v>0.39484815638014015</v>
      </c>
      <c r="CN64" s="11">
        <f t="shared" si="29"/>
        <v>0.39484815638014015</v>
      </c>
      <c r="CO64" s="11">
        <f t="shared" si="29"/>
        <v>0.39484815638014015</v>
      </c>
      <c r="CP64" s="11">
        <f t="shared" si="29"/>
        <v>0.39484815638014015</v>
      </c>
      <c r="CQ64" s="11">
        <f t="shared" si="29"/>
        <v>0.39484815638014015</v>
      </c>
      <c r="CR64" s="11">
        <f t="shared" si="29"/>
        <v>0.39484815638014015</v>
      </c>
      <c r="CS64" s="11">
        <f t="shared" si="29"/>
        <v>0.39484815638014015</v>
      </c>
      <c r="CT64" s="11">
        <f t="shared" si="29"/>
        <v>0.39484815638014015</v>
      </c>
      <c r="CU64" s="11">
        <f t="shared" si="29"/>
        <v>0.39484815638014015</v>
      </c>
      <c r="CW64" s="16"/>
      <c r="CX64" s="11">
        <f t="shared" ref="CX64:DM79" si="30">($C$22*CX65-AL64)/($C$21-$C$22*BR65)</f>
        <v>181.54555308595795</v>
      </c>
      <c r="CY64" s="11">
        <f t="shared" si="30"/>
        <v>173.80238309085951</v>
      </c>
      <c r="CZ64" s="11">
        <f t="shared" si="30"/>
        <v>166.10174913752502</v>
      </c>
      <c r="DA64" s="11">
        <f t="shared" si="30"/>
        <v>158.48565639706507</v>
      </c>
      <c r="DB64" s="11">
        <f t="shared" si="30"/>
        <v>150.99505604544822</v>
      </c>
      <c r="DC64" s="11">
        <f t="shared" si="30"/>
        <v>143.66933746749118</v>
      </c>
      <c r="DD64" s="11">
        <f t="shared" si="30"/>
        <v>136.54584304946749</v>
      </c>
      <c r="DE64" s="11">
        <f t="shared" si="30"/>
        <v>129.6594123507912</v>
      </c>
      <c r="DF64" s="11">
        <f t="shared" si="30"/>
        <v>123.04196184362074</v>
      </c>
      <c r="DG64" s="11">
        <f t="shared" si="30"/>
        <v>116.72210569536225</v>
      </c>
      <c r="DH64" s="11">
        <f t="shared" si="30"/>
        <v>110.72482226578826</v>
      </c>
      <c r="DI64" s="11">
        <f t="shared" si="30"/>
        <v>105.07117012286285</v>
      </c>
      <c r="DJ64" s="11">
        <f t="shared" si="30"/>
        <v>99.778056475538634</v>
      </c>
      <c r="DK64" s="11">
        <f t="shared" si="30"/>
        <v>94.858060003888156</v>
      </c>
      <c r="DL64" s="11">
        <f t="shared" si="30"/>
        <v>90.319309162045528</v>
      </c>
      <c r="DM64" s="11">
        <f t="shared" si="30"/>
        <v>86.165416160585579</v>
      </c>
      <c r="DN64" s="11">
        <f t="shared" ref="DN64:EA82" si="31">($C$22*DN65-BB64)/($C$21-$C$22*CH65)</f>
        <v>82.395466022310217</v>
      </c>
      <c r="DO64" s="11">
        <f t="shared" si="31"/>
        <v>79.004059365524583</v>
      </c>
      <c r="DP64" s="11">
        <f t="shared" si="31"/>
        <v>75.981406914312018</v>
      </c>
      <c r="DQ64" s="11">
        <f t="shared" si="31"/>
        <v>73.313473174282848</v>
      </c>
      <c r="DR64" s="11">
        <f t="shared" si="31"/>
        <v>70.982166248629397</v>
      </c>
      <c r="DS64" s="11">
        <f t="shared" si="31"/>
        <v>68.965570402694894</v>
      </c>
      <c r="DT64" s="11">
        <f t="shared" si="31"/>
        <v>67.238217711384564</v>
      </c>
      <c r="DU64" s="11">
        <f t="shared" si="31"/>
        <v>65.771394934939977</v>
      </c>
      <c r="DV64" s="11">
        <f t="shared" si="31"/>
        <v>64.53348165441507</v>
      </c>
      <c r="DW64" s="11">
        <f t="shared" si="31"/>
        <v>63.49031564613049</v>
      </c>
      <c r="DX64" s="11">
        <f t="shared" si="31"/>
        <v>62.605581470662685</v>
      </c>
      <c r="DY64" s="11">
        <f t="shared" si="31"/>
        <v>61.841218282297177</v>
      </c>
      <c r="DZ64" s="11">
        <f t="shared" si="31"/>
        <v>61.157842915403378</v>
      </c>
      <c r="EA64" s="11">
        <f>($C$22*EA65-BO64)/($C$21-$C$22*CU65)</f>
        <v>60.51518436198598</v>
      </c>
    </row>
    <row r="65" spans="5:131" x14ac:dyDescent="0.3">
      <c r="E65" s="16"/>
      <c r="F65" s="11">
        <f t="shared" ref="F65:AF74" si="32">BR65*F64+CX65</f>
        <v>300</v>
      </c>
      <c r="G65" s="12">
        <f t="shared" si="32"/>
        <v>287.20458331783169</v>
      </c>
      <c r="H65" s="12">
        <f t="shared" si="32"/>
        <v>274.47945650127718</v>
      </c>
      <c r="I65" s="12">
        <f t="shared" si="32"/>
        <v>261.8940321639696</v>
      </c>
      <c r="J65" s="12">
        <f t="shared" si="32"/>
        <v>249.51598121594628</v>
      </c>
      <c r="K65" s="12">
        <f t="shared" si="32"/>
        <v>237.41039374200503</v>
      </c>
      <c r="L65" s="12">
        <f t="shared" si="32"/>
        <v>225.63897720725103</v>
      </c>
      <c r="M65" s="12">
        <f t="shared" si="32"/>
        <v>214.25930321091406</v>
      </c>
      <c r="N65" s="12">
        <f t="shared" si="32"/>
        <v>203.32411301536479</v>
      </c>
      <c r="O65" s="12">
        <f t="shared" si="32"/>
        <v>192.88069089761203</v>
      </c>
      <c r="P65" s="12">
        <f t="shared" si="32"/>
        <v>182.97031304318824</v>
      </c>
      <c r="Q65" s="12">
        <f t="shared" si="32"/>
        <v>173.62777826859889</v>
      </c>
      <c r="R65" s="12">
        <f t="shared" si="32"/>
        <v>164.88102536165539</v>
      </c>
      <c r="S65" s="12">
        <f t="shared" si="32"/>
        <v>156.75084031219683</v>
      </c>
      <c r="T65" s="12">
        <f t="shared" si="32"/>
        <v>149.25065521039988</v>
      </c>
      <c r="U65" s="12">
        <f t="shared" si="32"/>
        <v>142.38643915412473</v>
      </c>
      <c r="V65" s="12">
        <f t="shared" si="32"/>
        <v>136.1566801638447</v>
      </c>
      <c r="W65" s="12">
        <f t="shared" si="32"/>
        <v>130.55245588106118</v>
      </c>
      <c r="X65" s="12">
        <f t="shared" si="32"/>
        <v>125.55758974443694</v>
      </c>
      <c r="Y65" s="12">
        <f t="shared" si="32"/>
        <v>121.14888841078439</v>
      </c>
      <c r="Z65" s="12">
        <f t="shared" si="32"/>
        <v>117.29645542188662</v>
      </c>
      <c r="AA65" s="12">
        <f t="shared" si="32"/>
        <v>113.96407551228947</v>
      </c>
      <c r="AB65" s="12">
        <f t="shared" si="32"/>
        <v>111.1096635006235</v>
      </c>
      <c r="AC65" s="12">
        <f t="shared" si="32"/>
        <v>108.68577139501504</v>
      </c>
      <c r="AD65" s="12">
        <f t="shared" si="32"/>
        <v>106.64014715446075</v>
      </c>
      <c r="AE65" s="12">
        <f t="shared" si="32"/>
        <v>104.91633846200988</v>
      </c>
      <c r="AF65" s="12">
        <f t="shared" si="32"/>
        <v>103.4543348594503</v>
      </c>
      <c r="AG65" s="12">
        <f>CS65*AG64+DY65</f>
        <v>102.19124164338524</v>
      </c>
      <c r="AH65" s="12">
        <f t="shared" ref="AH65:AI80" si="33">CT65*AH64+DZ65</f>
        <v>101.06197900608413</v>
      </c>
      <c r="AI65" s="11">
        <f t="shared" si="33"/>
        <v>100</v>
      </c>
      <c r="AK65" s="18"/>
      <c r="AL65" s="11">
        <f t="shared" ref="AL65:BA93" si="34">-($C$10*$C$9*F34)/($C$7)</f>
        <v>-1076400000</v>
      </c>
      <c r="AM65" s="12">
        <f t="shared" si="26"/>
        <v>-1030490044.9443803</v>
      </c>
      <c r="AN65" s="12">
        <f t="shared" si="26"/>
        <v>-984832289.92658269</v>
      </c>
      <c r="AO65" s="12">
        <f t="shared" si="26"/>
        <v>-939675787.40432286</v>
      </c>
      <c r="AP65" s="12">
        <f t="shared" si="26"/>
        <v>-895263340.60281527</v>
      </c>
      <c r="AQ65" s="12">
        <f t="shared" si="26"/>
        <v>-851828492.74631393</v>
      </c>
      <c r="AR65" s="12">
        <f t="shared" si="26"/>
        <v>-809592650.21961665</v>
      </c>
      <c r="AS65" s="12">
        <f t="shared" si="26"/>
        <v>-768762379.92075968</v>
      </c>
      <c r="AT65" s="12">
        <f t="shared" si="26"/>
        <v>-729526917.4991287</v>
      </c>
      <c r="AU65" s="12">
        <f t="shared" si="26"/>
        <v>-692055918.94063199</v>
      </c>
      <c r="AV65" s="12">
        <f t="shared" si="26"/>
        <v>-656497483.19895935</v>
      </c>
      <c r="AW65" s="12">
        <f t="shared" si="26"/>
        <v>-622976468.42773283</v>
      </c>
      <c r="AX65" s="12">
        <f t="shared" si="26"/>
        <v>-591593118.99761951</v>
      </c>
      <c r="AY65" s="12">
        <f t="shared" si="26"/>
        <v>-562422015.04016221</v>
      </c>
      <c r="AZ65" s="12">
        <f t="shared" si="26"/>
        <v>-535511350.89491481</v>
      </c>
      <c r="BA65" s="12">
        <f t="shared" si="26"/>
        <v>-510882543.68499953</v>
      </c>
      <c r="BB65" s="12">
        <f t="shared" si="26"/>
        <v>-488530168.42787486</v>
      </c>
      <c r="BC65" s="12">
        <f t="shared" si="27"/>
        <v>-468422211.70124751</v>
      </c>
      <c r="BD65" s="12">
        <f t="shared" si="27"/>
        <v>-450500632.00303972</v>
      </c>
      <c r="BE65" s="12">
        <f t="shared" si="27"/>
        <v>-434682211.61789441</v>
      </c>
      <c r="BF65" s="12">
        <f t="shared" si="27"/>
        <v>-420859682.05372912</v>
      </c>
      <c r="BG65" s="12">
        <f t="shared" si="27"/>
        <v>-408903102.93809456</v>
      </c>
      <c r="BH65" s="12">
        <f t="shared" si="27"/>
        <v>-398661472.64023721</v>
      </c>
      <c r="BI65" s="12">
        <f t="shared" si="27"/>
        <v>-389964547.76531392</v>
      </c>
      <c r="BJ65" s="12">
        <f t="shared" si="27"/>
        <v>-382624847.99020511</v>
      </c>
      <c r="BK65" s="12">
        <f t="shared" si="27"/>
        <v>-376439822.4016915</v>
      </c>
      <c r="BL65" s="12">
        <f t="shared" si="27"/>
        <v>-371194153.47570771</v>
      </c>
      <c r="BM65" s="12">
        <f t="shared" si="27"/>
        <v>-366662175.01646626</v>
      </c>
      <c r="BN65" s="12">
        <f t="shared" si="27"/>
        <v>-362610380.67382985</v>
      </c>
      <c r="BO65" s="11">
        <f t="shared" si="27"/>
        <v>-358800000</v>
      </c>
      <c r="BQ65" s="16"/>
      <c r="BR65" s="11">
        <f t="shared" si="28"/>
        <v>0.39484815638014015</v>
      </c>
      <c r="BS65" s="12">
        <f t="shared" si="28"/>
        <v>0.39484815638014015</v>
      </c>
      <c r="BT65" s="12">
        <f t="shared" si="28"/>
        <v>0.39484815638014015</v>
      </c>
      <c r="BU65" s="12">
        <f t="shared" si="28"/>
        <v>0.39484815638014015</v>
      </c>
      <c r="BV65" s="12">
        <f t="shared" si="28"/>
        <v>0.39484815638014015</v>
      </c>
      <c r="BW65" s="12">
        <f t="shared" si="28"/>
        <v>0.39484815638014015</v>
      </c>
      <c r="BX65" s="12">
        <f t="shared" si="28"/>
        <v>0.39484815638014015</v>
      </c>
      <c r="BY65" s="12">
        <f t="shared" si="28"/>
        <v>0.39484815638014015</v>
      </c>
      <c r="BZ65" s="12">
        <f t="shared" si="28"/>
        <v>0.39484815638014015</v>
      </c>
      <c r="CA65" s="12">
        <f t="shared" si="28"/>
        <v>0.39484815638014015</v>
      </c>
      <c r="CB65" s="12">
        <f t="shared" si="28"/>
        <v>0.39484815638014015</v>
      </c>
      <c r="CC65" s="12">
        <f t="shared" si="28"/>
        <v>0.39484815638014015</v>
      </c>
      <c r="CD65" s="12">
        <f t="shared" si="28"/>
        <v>0.39484815638014015</v>
      </c>
      <c r="CE65" s="12">
        <f t="shared" si="28"/>
        <v>0.39484815638014015</v>
      </c>
      <c r="CF65" s="12">
        <f t="shared" si="28"/>
        <v>0.39484815638014015</v>
      </c>
      <c r="CG65" s="12">
        <f t="shared" si="28"/>
        <v>0.39484815638014015</v>
      </c>
      <c r="CH65" s="12">
        <f t="shared" si="29"/>
        <v>0.39484815638014015</v>
      </c>
      <c r="CI65" s="12">
        <f t="shared" si="29"/>
        <v>0.39484815638014015</v>
      </c>
      <c r="CJ65" s="12">
        <f t="shared" si="29"/>
        <v>0.39484815638014015</v>
      </c>
      <c r="CK65" s="12">
        <f t="shared" si="29"/>
        <v>0.39484815638014015</v>
      </c>
      <c r="CL65" s="12">
        <f t="shared" si="29"/>
        <v>0.39484815638014015</v>
      </c>
      <c r="CM65" s="12">
        <f t="shared" si="29"/>
        <v>0.39484815638014015</v>
      </c>
      <c r="CN65" s="12">
        <f t="shared" si="29"/>
        <v>0.39484815638014015</v>
      </c>
      <c r="CO65" s="12">
        <f t="shared" si="29"/>
        <v>0.39484815638014015</v>
      </c>
      <c r="CP65" s="12">
        <f t="shared" si="29"/>
        <v>0.39484815638014015</v>
      </c>
      <c r="CQ65" s="12">
        <f t="shared" si="29"/>
        <v>0.39484815638014015</v>
      </c>
      <c r="CR65" s="12">
        <f t="shared" si="29"/>
        <v>0.39484815638014015</v>
      </c>
      <c r="CS65" s="12">
        <f t="shared" si="29"/>
        <v>0.39484815638014015</v>
      </c>
      <c r="CT65" s="12">
        <f t="shared" si="29"/>
        <v>0.39484815638014015</v>
      </c>
      <c r="CU65" s="11">
        <f t="shared" si="29"/>
        <v>0.39484815638014015</v>
      </c>
      <c r="CW65" s="16"/>
      <c r="CX65" s="11">
        <f t="shared" si="30"/>
        <v>181.54555308595795</v>
      </c>
      <c r="CY65" s="12">
        <f t="shared" si="30"/>
        <v>173.80238309085951</v>
      </c>
      <c r="CZ65" s="12">
        <f t="shared" si="30"/>
        <v>166.10174913752502</v>
      </c>
      <c r="DA65" s="12">
        <f t="shared" si="30"/>
        <v>158.48565639706507</v>
      </c>
      <c r="DB65" s="12">
        <f t="shared" si="30"/>
        <v>150.99505604544822</v>
      </c>
      <c r="DC65" s="12">
        <f t="shared" si="30"/>
        <v>143.66933746749118</v>
      </c>
      <c r="DD65" s="12">
        <f t="shared" si="30"/>
        <v>136.54584304946749</v>
      </c>
      <c r="DE65" s="12">
        <f t="shared" si="30"/>
        <v>129.6594123507912</v>
      </c>
      <c r="DF65" s="12">
        <f t="shared" si="30"/>
        <v>123.04196184362074</v>
      </c>
      <c r="DG65" s="12">
        <f t="shared" si="30"/>
        <v>116.72210569536225</v>
      </c>
      <c r="DH65" s="12">
        <f t="shared" si="30"/>
        <v>110.72482226578826</v>
      </c>
      <c r="DI65" s="12">
        <f t="shared" si="30"/>
        <v>105.07117012286285</v>
      </c>
      <c r="DJ65" s="12">
        <f t="shared" si="30"/>
        <v>99.778056475538634</v>
      </c>
      <c r="DK65" s="12">
        <f t="shared" si="30"/>
        <v>94.858060003888156</v>
      </c>
      <c r="DL65" s="12">
        <f t="shared" si="30"/>
        <v>90.319309162045528</v>
      </c>
      <c r="DM65" s="12">
        <f t="shared" si="30"/>
        <v>86.165416160585579</v>
      </c>
      <c r="DN65" s="12">
        <f t="shared" si="31"/>
        <v>82.395466022310217</v>
      </c>
      <c r="DO65" s="12">
        <f t="shared" si="31"/>
        <v>79.004059365524583</v>
      </c>
      <c r="DP65" s="12">
        <f t="shared" si="31"/>
        <v>75.981406914312018</v>
      </c>
      <c r="DQ65" s="12">
        <f t="shared" si="31"/>
        <v>73.313473174282848</v>
      </c>
      <c r="DR65" s="12">
        <f t="shared" si="31"/>
        <v>70.982166248629397</v>
      </c>
      <c r="DS65" s="12">
        <f t="shared" si="31"/>
        <v>68.965570402694894</v>
      </c>
      <c r="DT65" s="12">
        <f t="shared" si="31"/>
        <v>67.238217711384564</v>
      </c>
      <c r="DU65" s="12">
        <f t="shared" si="31"/>
        <v>65.771394934939977</v>
      </c>
      <c r="DV65" s="12">
        <f t="shared" si="31"/>
        <v>64.53348165441507</v>
      </c>
      <c r="DW65" s="12">
        <f t="shared" si="31"/>
        <v>63.49031564613049</v>
      </c>
      <c r="DX65" s="12">
        <f t="shared" si="31"/>
        <v>62.605581470662685</v>
      </c>
      <c r="DY65" s="12">
        <f t="shared" si="31"/>
        <v>61.841218282297177</v>
      </c>
      <c r="DZ65" s="12">
        <f t="shared" si="31"/>
        <v>61.157842915403378</v>
      </c>
      <c r="EA65" s="11">
        <f t="shared" si="31"/>
        <v>60.51518436198598</v>
      </c>
    </row>
    <row r="66" spans="5:131" x14ac:dyDescent="0.3">
      <c r="E66" s="16"/>
      <c r="F66" s="11">
        <f t="shared" si="32"/>
        <v>300</v>
      </c>
      <c r="G66" s="12">
        <f t="shared" si="32"/>
        <v>287.20458331783169</v>
      </c>
      <c r="H66" s="12">
        <f t="shared" si="32"/>
        <v>274.47945650127718</v>
      </c>
      <c r="I66" s="12">
        <f t="shared" si="32"/>
        <v>261.8940321639696</v>
      </c>
      <c r="J66" s="12">
        <f t="shared" si="32"/>
        <v>249.51598121594628</v>
      </c>
      <c r="K66" s="12">
        <f t="shared" si="32"/>
        <v>237.41039374200503</v>
      </c>
      <c r="L66" s="12">
        <f t="shared" si="32"/>
        <v>225.63897720725103</v>
      </c>
      <c r="M66" s="12">
        <f t="shared" si="32"/>
        <v>214.25930321091406</v>
      </c>
      <c r="N66" s="12">
        <f t="shared" si="32"/>
        <v>203.32411301536479</v>
      </c>
      <c r="O66" s="12">
        <f t="shared" si="32"/>
        <v>192.88069089761203</v>
      </c>
      <c r="P66" s="12">
        <f t="shared" si="32"/>
        <v>182.97031304318824</v>
      </c>
      <c r="Q66" s="12">
        <f t="shared" si="32"/>
        <v>173.62777826859889</v>
      </c>
      <c r="R66" s="12">
        <f t="shared" si="32"/>
        <v>164.88102536165542</v>
      </c>
      <c r="S66" s="12">
        <f t="shared" si="32"/>
        <v>156.75084031219683</v>
      </c>
      <c r="T66" s="12">
        <f t="shared" si="32"/>
        <v>149.25065521039988</v>
      </c>
      <c r="U66" s="12">
        <f t="shared" si="32"/>
        <v>142.38643915412473</v>
      </c>
      <c r="V66" s="12">
        <f t="shared" si="32"/>
        <v>136.1566801638447</v>
      </c>
      <c r="W66" s="12">
        <f t="shared" si="32"/>
        <v>130.55245588106118</v>
      </c>
      <c r="X66" s="12">
        <f t="shared" si="32"/>
        <v>125.55758974443694</v>
      </c>
      <c r="Y66" s="12">
        <f t="shared" si="32"/>
        <v>121.14888841078439</v>
      </c>
      <c r="Z66" s="12">
        <f t="shared" si="32"/>
        <v>117.29645542188662</v>
      </c>
      <c r="AA66" s="12">
        <f t="shared" si="32"/>
        <v>113.96407551228947</v>
      </c>
      <c r="AB66" s="12">
        <f t="shared" si="32"/>
        <v>111.10966350062351</v>
      </c>
      <c r="AC66" s="12">
        <f t="shared" si="32"/>
        <v>108.68577139501504</v>
      </c>
      <c r="AD66" s="12">
        <f t="shared" si="32"/>
        <v>106.64014715446075</v>
      </c>
      <c r="AE66" s="12">
        <f t="shared" si="32"/>
        <v>104.91633846200988</v>
      </c>
      <c r="AF66" s="12">
        <f t="shared" si="32"/>
        <v>103.4543348594503</v>
      </c>
      <c r="AG66" s="12">
        <f t="shared" ref="AG66:AI81" si="35">CS66*AG65+DY66</f>
        <v>102.19124164338524</v>
      </c>
      <c r="AH66" s="12">
        <f t="shared" si="33"/>
        <v>101.06197900608413</v>
      </c>
      <c r="AI66" s="11">
        <f t="shared" si="33"/>
        <v>100</v>
      </c>
      <c r="AK66" s="18"/>
      <c r="AL66" s="11">
        <f t="shared" si="34"/>
        <v>-1076400000</v>
      </c>
      <c r="AM66" s="12">
        <f t="shared" si="26"/>
        <v>-1030490044.9443803</v>
      </c>
      <c r="AN66" s="12">
        <f t="shared" si="26"/>
        <v>-984832289.92658269</v>
      </c>
      <c r="AO66" s="12">
        <f t="shared" si="26"/>
        <v>-939675787.40432286</v>
      </c>
      <c r="AP66" s="12">
        <f t="shared" si="26"/>
        <v>-895263340.60281527</v>
      </c>
      <c r="AQ66" s="12">
        <f t="shared" si="26"/>
        <v>-851828492.74631393</v>
      </c>
      <c r="AR66" s="12">
        <f t="shared" si="26"/>
        <v>-809592650.21961665</v>
      </c>
      <c r="AS66" s="12">
        <f t="shared" si="26"/>
        <v>-768762379.92075968</v>
      </c>
      <c r="AT66" s="12">
        <f t="shared" si="26"/>
        <v>-729526917.4991287</v>
      </c>
      <c r="AU66" s="12">
        <f t="shared" si="26"/>
        <v>-692055918.94063199</v>
      </c>
      <c r="AV66" s="12">
        <f t="shared" si="26"/>
        <v>-656497483.19895935</v>
      </c>
      <c r="AW66" s="12">
        <f t="shared" si="26"/>
        <v>-622976468.42773283</v>
      </c>
      <c r="AX66" s="12">
        <f t="shared" si="26"/>
        <v>-591593118.99761963</v>
      </c>
      <c r="AY66" s="12">
        <f t="shared" si="26"/>
        <v>-562422015.04016232</v>
      </c>
      <c r="AZ66" s="12">
        <f t="shared" si="26"/>
        <v>-535511350.89491481</v>
      </c>
      <c r="BA66" s="12">
        <f t="shared" si="26"/>
        <v>-510882543.68499953</v>
      </c>
      <c r="BB66" s="12">
        <f t="shared" si="26"/>
        <v>-488530168.42787486</v>
      </c>
      <c r="BC66" s="12">
        <f t="shared" si="27"/>
        <v>-468422211.70124751</v>
      </c>
      <c r="BD66" s="12">
        <f t="shared" si="27"/>
        <v>-450500632.00303972</v>
      </c>
      <c r="BE66" s="12">
        <f t="shared" si="27"/>
        <v>-434682211.61789441</v>
      </c>
      <c r="BF66" s="12">
        <f t="shared" si="27"/>
        <v>-420859682.05372912</v>
      </c>
      <c r="BG66" s="12">
        <f t="shared" si="27"/>
        <v>-408903102.93809456</v>
      </c>
      <c r="BH66" s="12">
        <f t="shared" si="27"/>
        <v>-398661472.64023721</v>
      </c>
      <c r="BI66" s="12">
        <f t="shared" si="27"/>
        <v>-389964547.76531392</v>
      </c>
      <c r="BJ66" s="12">
        <f t="shared" si="27"/>
        <v>-382624847.99020511</v>
      </c>
      <c r="BK66" s="12">
        <f t="shared" si="27"/>
        <v>-376439822.4016915</v>
      </c>
      <c r="BL66" s="12">
        <f t="shared" si="27"/>
        <v>-371194153.47570771</v>
      </c>
      <c r="BM66" s="12">
        <f t="shared" si="27"/>
        <v>-366662175.01646626</v>
      </c>
      <c r="BN66" s="12">
        <f t="shared" si="27"/>
        <v>-362610380.67382985</v>
      </c>
      <c r="BO66" s="11">
        <f t="shared" si="27"/>
        <v>-358800000</v>
      </c>
      <c r="BQ66" s="16"/>
      <c r="BR66" s="11">
        <f t="shared" si="28"/>
        <v>0.39484815638014015</v>
      </c>
      <c r="BS66" s="12">
        <f t="shared" si="28"/>
        <v>0.39484815638014015</v>
      </c>
      <c r="BT66" s="12">
        <f t="shared" si="28"/>
        <v>0.39484815638014015</v>
      </c>
      <c r="BU66" s="12">
        <f t="shared" si="28"/>
        <v>0.39484815638014015</v>
      </c>
      <c r="BV66" s="12">
        <f t="shared" si="28"/>
        <v>0.39484815638014015</v>
      </c>
      <c r="BW66" s="12">
        <f t="shared" si="28"/>
        <v>0.39484815638014015</v>
      </c>
      <c r="BX66" s="12">
        <f t="shared" si="28"/>
        <v>0.39484815638014015</v>
      </c>
      <c r="BY66" s="12">
        <f t="shared" si="28"/>
        <v>0.39484815638014015</v>
      </c>
      <c r="BZ66" s="12">
        <f t="shared" si="28"/>
        <v>0.39484815638014015</v>
      </c>
      <c r="CA66" s="12">
        <f t="shared" si="28"/>
        <v>0.39484815638014015</v>
      </c>
      <c r="CB66" s="12">
        <f t="shared" si="28"/>
        <v>0.39484815638014015</v>
      </c>
      <c r="CC66" s="12">
        <f t="shared" si="28"/>
        <v>0.39484815638014015</v>
      </c>
      <c r="CD66" s="12">
        <f t="shared" si="28"/>
        <v>0.39484815638014015</v>
      </c>
      <c r="CE66" s="12">
        <f t="shared" si="28"/>
        <v>0.39484815638014015</v>
      </c>
      <c r="CF66" s="12">
        <f t="shared" si="28"/>
        <v>0.39484815638014015</v>
      </c>
      <c r="CG66" s="12">
        <f t="shared" si="28"/>
        <v>0.39484815638014015</v>
      </c>
      <c r="CH66" s="12">
        <f t="shared" si="29"/>
        <v>0.39484815638014015</v>
      </c>
      <c r="CI66" s="12">
        <f t="shared" si="29"/>
        <v>0.39484815638014015</v>
      </c>
      <c r="CJ66" s="12">
        <f t="shared" si="29"/>
        <v>0.39484815638014015</v>
      </c>
      <c r="CK66" s="12">
        <f t="shared" si="29"/>
        <v>0.39484815638014015</v>
      </c>
      <c r="CL66" s="12">
        <f t="shared" si="29"/>
        <v>0.39484815638014015</v>
      </c>
      <c r="CM66" s="12">
        <f t="shared" si="29"/>
        <v>0.39484815638014015</v>
      </c>
      <c r="CN66" s="12">
        <f t="shared" si="29"/>
        <v>0.39484815638014015</v>
      </c>
      <c r="CO66" s="12">
        <f t="shared" si="29"/>
        <v>0.39484815638014015</v>
      </c>
      <c r="CP66" s="12">
        <f t="shared" si="29"/>
        <v>0.39484815638014015</v>
      </c>
      <c r="CQ66" s="12">
        <f t="shared" si="29"/>
        <v>0.39484815638014015</v>
      </c>
      <c r="CR66" s="12">
        <f t="shared" si="29"/>
        <v>0.39484815638014015</v>
      </c>
      <c r="CS66" s="12">
        <f t="shared" si="29"/>
        <v>0.39484815638014015</v>
      </c>
      <c r="CT66" s="12">
        <f t="shared" si="29"/>
        <v>0.39484815638014015</v>
      </c>
      <c r="CU66" s="11">
        <f t="shared" si="29"/>
        <v>0.39484815638014015</v>
      </c>
      <c r="CW66" s="16"/>
      <c r="CX66" s="11">
        <f t="shared" si="30"/>
        <v>181.54555308595795</v>
      </c>
      <c r="CY66" s="12">
        <f t="shared" si="30"/>
        <v>173.80238309085951</v>
      </c>
      <c r="CZ66" s="12">
        <f t="shared" si="30"/>
        <v>166.10174913752502</v>
      </c>
      <c r="DA66" s="12">
        <f t="shared" si="30"/>
        <v>158.48565639706507</v>
      </c>
      <c r="DB66" s="12">
        <f t="shared" si="30"/>
        <v>150.99505604544822</v>
      </c>
      <c r="DC66" s="12">
        <f t="shared" si="30"/>
        <v>143.66933746749118</v>
      </c>
      <c r="DD66" s="12">
        <f t="shared" si="30"/>
        <v>136.54584304946749</v>
      </c>
      <c r="DE66" s="12">
        <f t="shared" si="30"/>
        <v>129.6594123507912</v>
      </c>
      <c r="DF66" s="12">
        <f t="shared" si="30"/>
        <v>123.04196184362074</v>
      </c>
      <c r="DG66" s="12">
        <f t="shared" si="30"/>
        <v>116.72210569536225</v>
      </c>
      <c r="DH66" s="12">
        <f t="shared" si="30"/>
        <v>110.72482226578826</v>
      </c>
      <c r="DI66" s="12">
        <f t="shared" si="30"/>
        <v>105.07117012286285</v>
      </c>
      <c r="DJ66" s="12">
        <f t="shared" si="30"/>
        <v>99.778056475538648</v>
      </c>
      <c r="DK66" s="12">
        <f t="shared" si="30"/>
        <v>94.85806000388817</v>
      </c>
      <c r="DL66" s="12">
        <f t="shared" si="30"/>
        <v>90.319309162045528</v>
      </c>
      <c r="DM66" s="12">
        <f t="shared" si="30"/>
        <v>86.165416160585579</v>
      </c>
      <c r="DN66" s="12">
        <f t="shared" si="31"/>
        <v>82.395466022310217</v>
      </c>
      <c r="DO66" s="12">
        <f t="shared" si="31"/>
        <v>79.004059365524583</v>
      </c>
      <c r="DP66" s="12">
        <f t="shared" si="31"/>
        <v>75.981406914312018</v>
      </c>
      <c r="DQ66" s="12">
        <f t="shared" si="31"/>
        <v>73.313473174282848</v>
      </c>
      <c r="DR66" s="12">
        <f t="shared" si="31"/>
        <v>70.982166248629397</v>
      </c>
      <c r="DS66" s="12">
        <f t="shared" si="31"/>
        <v>68.965570402694894</v>
      </c>
      <c r="DT66" s="12">
        <f t="shared" si="31"/>
        <v>67.238217711384578</v>
      </c>
      <c r="DU66" s="12">
        <f t="shared" si="31"/>
        <v>65.771394934939977</v>
      </c>
      <c r="DV66" s="12">
        <f t="shared" si="31"/>
        <v>64.53348165441507</v>
      </c>
      <c r="DW66" s="12">
        <f t="shared" si="31"/>
        <v>63.49031564613049</v>
      </c>
      <c r="DX66" s="12">
        <f t="shared" si="31"/>
        <v>62.605581470662685</v>
      </c>
      <c r="DY66" s="12">
        <f t="shared" si="31"/>
        <v>61.841218282297177</v>
      </c>
      <c r="DZ66" s="12">
        <f t="shared" si="31"/>
        <v>61.157842915403378</v>
      </c>
      <c r="EA66" s="11">
        <f t="shared" si="31"/>
        <v>60.51518436198598</v>
      </c>
    </row>
    <row r="67" spans="5:131" x14ac:dyDescent="0.3">
      <c r="E67" s="16"/>
      <c r="F67" s="11">
        <f t="shared" si="32"/>
        <v>300</v>
      </c>
      <c r="G67" s="12">
        <f t="shared" si="32"/>
        <v>287.20458331783169</v>
      </c>
      <c r="H67" s="12">
        <f t="shared" si="32"/>
        <v>274.47945650127718</v>
      </c>
      <c r="I67" s="12">
        <f t="shared" si="32"/>
        <v>261.8940321639696</v>
      </c>
      <c r="J67" s="12">
        <f t="shared" si="32"/>
        <v>249.51598121594628</v>
      </c>
      <c r="K67" s="12">
        <f t="shared" si="32"/>
        <v>237.41039374200503</v>
      </c>
      <c r="L67" s="12">
        <f t="shared" si="32"/>
        <v>225.63897720725103</v>
      </c>
      <c r="M67" s="12">
        <f t="shared" si="32"/>
        <v>214.25930321091408</v>
      </c>
      <c r="N67" s="12">
        <f t="shared" si="32"/>
        <v>203.32411301536479</v>
      </c>
      <c r="O67" s="12">
        <f t="shared" si="32"/>
        <v>192.88069089761203</v>
      </c>
      <c r="P67" s="12">
        <f t="shared" si="32"/>
        <v>182.97031304318824</v>
      </c>
      <c r="Q67" s="12">
        <f t="shared" si="32"/>
        <v>173.62777826859889</v>
      </c>
      <c r="R67" s="12">
        <f t="shared" si="32"/>
        <v>164.88102536165542</v>
      </c>
      <c r="S67" s="12">
        <f t="shared" si="32"/>
        <v>156.75084031219683</v>
      </c>
      <c r="T67" s="12">
        <f t="shared" si="32"/>
        <v>149.25065521039988</v>
      </c>
      <c r="U67" s="12">
        <f t="shared" si="32"/>
        <v>142.38643915412473</v>
      </c>
      <c r="V67" s="12">
        <f t="shared" si="32"/>
        <v>136.1566801638447</v>
      </c>
      <c r="W67" s="12">
        <f t="shared" si="32"/>
        <v>130.55245588106118</v>
      </c>
      <c r="X67" s="12">
        <f t="shared" si="32"/>
        <v>125.55758974443694</v>
      </c>
      <c r="Y67" s="12">
        <f t="shared" si="32"/>
        <v>121.14888841078439</v>
      </c>
      <c r="Z67" s="12">
        <f t="shared" si="32"/>
        <v>117.29645542188662</v>
      </c>
      <c r="AA67" s="12">
        <f t="shared" si="32"/>
        <v>113.96407551228948</v>
      </c>
      <c r="AB67" s="12">
        <f t="shared" si="32"/>
        <v>111.10966350062353</v>
      </c>
      <c r="AC67" s="12">
        <f t="shared" si="32"/>
        <v>108.68577139501505</v>
      </c>
      <c r="AD67" s="12">
        <f t="shared" si="32"/>
        <v>106.64014715446075</v>
      </c>
      <c r="AE67" s="12">
        <f t="shared" si="32"/>
        <v>104.91633846200988</v>
      </c>
      <c r="AF67" s="12">
        <f t="shared" si="32"/>
        <v>103.4543348594503</v>
      </c>
      <c r="AG67" s="12">
        <f t="shared" si="35"/>
        <v>102.19124164338524</v>
      </c>
      <c r="AH67" s="12">
        <f t="shared" si="33"/>
        <v>101.06197900608413</v>
      </c>
      <c r="AI67" s="11">
        <f t="shared" si="33"/>
        <v>100</v>
      </c>
      <c r="AK67" s="18"/>
      <c r="AL67" s="11">
        <f t="shared" si="34"/>
        <v>-1076400000</v>
      </c>
      <c r="AM67" s="12">
        <f t="shared" si="26"/>
        <v>-1030490044.9443803</v>
      </c>
      <c r="AN67" s="12">
        <f t="shared" si="26"/>
        <v>-984832289.92658269</v>
      </c>
      <c r="AO67" s="12">
        <f t="shared" si="26"/>
        <v>-939675787.40432286</v>
      </c>
      <c r="AP67" s="12">
        <f t="shared" si="26"/>
        <v>-895263340.60281527</v>
      </c>
      <c r="AQ67" s="12">
        <f t="shared" si="26"/>
        <v>-851828492.74631393</v>
      </c>
      <c r="AR67" s="12">
        <f t="shared" si="26"/>
        <v>-809592650.21961665</v>
      </c>
      <c r="AS67" s="12">
        <f t="shared" si="26"/>
        <v>-768762379.92075968</v>
      </c>
      <c r="AT67" s="12">
        <f t="shared" si="26"/>
        <v>-729526917.4991287</v>
      </c>
      <c r="AU67" s="12">
        <f t="shared" si="26"/>
        <v>-692055918.94063199</v>
      </c>
      <c r="AV67" s="12">
        <f t="shared" si="26"/>
        <v>-656497483.19895935</v>
      </c>
      <c r="AW67" s="12">
        <f t="shared" si="26"/>
        <v>-622976468.42773283</v>
      </c>
      <c r="AX67" s="12">
        <f t="shared" si="26"/>
        <v>-591593118.99761963</v>
      </c>
      <c r="AY67" s="12">
        <f t="shared" si="26"/>
        <v>-562422015.04016232</v>
      </c>
      <c r="AZ67" s="12">
        <f t="shared" si="26"/>
        <v>-535511350.89491481</v>
      </c>
      <c r="BA67" s="12">
        <f t="shared" si="26"/>
        <v>-510882543.68499953</v>
      </c>
      <c r="BB67" s="12">
        <f t="shared" si="26"/>
        <v>-488530168.42787486</v>
      </c>
      <c r="BC67" s="12">
        <f t="shared" si="27"/>
        <v>-468422211.70124751</v>
      </c>
      <c r="BD67" s="12">
        <f t="shared" si="27"/>
        <v>-450500632.00303972</v>
      </c>
      <c r="BE67" s="12">
        <f t="shared" si="27"/>
        <v>-434682211.61789441</v>
      </c>
      <c r="BF67" s="12">
        <f t="shared" si="27"/>
        <v>-420859682.05372918</v>
      </c>
      <c r="BG67" s="12">
        <f t="shared" si="27"/>
        <v>-408903102.93809462</v>
      </c>
      <c r="BH67" s="12">
        <f t="shared" si="27"/>
        <v>-398661472.64023733</v>
      </c>
      <c r="BI67" s="12">
        <f t="shared" si="27"/>
        <v>-389964547.76531398</v>
      </c>
      <c r="BJ67" s="12">
        <f t="shared" si="27"/>
        <v>-382624847.99020511</v>
      </c>
      <c r="BK67" s="12">
        <f t="shared" si="27"/>
        <v>-376439822.4016915</v>
      </c>
      <c r="BL67" s="12">
        <f t="shared" si="27"/>
        <v>-371194153.47570771</v>
      </c>
      <c r="BM67" s="12">
        <f t="shared" si="27"/>
        <v>-366662175.01646626</v>
      </c>
      <c r="BN67" s="12">
        <f t="shared" si="27"/>
        <v>-362610380.67382985</v>
      </c>
      <c r="BO67" s="11">
        <f t="shared" si="27"/>
        <v>-358800000</v>
      </c>
      <c r="BQ67" s="16"/>
      <c r="BR67" s="11">
        <f t="shared" si="28"/>
        <v>0.39484815638014015</v>
      </c>
      <c r="BS67" s="12">
        <f t="shared" si="28"/>
        <v>0.39484815638014015</v>
      </c>
      <c r="BT67" s="12">
        <f t="shared" si="28"/>
        <v>0.39484815638014015</v>
      </c>
      <c r="BU67" s="12">
        <f t="shared" si="28"/>
        <v>0.39484815638014015</v>
      </c>
      <c r="BV67" s="12">
        <f t="shared" si="28"/>
        <v>0.39484815638014015</v>
      </c>
      <c r="BW67" s="12">
        <f t="shared" si="28"/>
        <v>0.39484815638014015</v>
      </c>
      <c r="BX67" s="12">
        <f t="shared" si="28"/>
        <v>0.39484815638014015</v>
      </c>
      <c r="BY67" s="12">
        <f t="shared" si="28"/>
        <v>0.39484815638014015</v>
      </c>
      <c r="BZ67" s="12">
        <f t="shared" si="28"/>
        <v>0.39484815638014015</v>
      </c>
      <c r="CA67" s="12">
        <f t="shared" si="28"/>
        <v>0.39484815638014015</v>
      </c>
      <c r="CB67" s="12">
        <f t="shared" si="28"/>
        <v>0.39484815638014015</v>
      </c>
      <c r="CC67" s="12">
        <f t="shared" si="28"/>
        <v>0.39484815638014015</v>
      </c>
      <c r="CD67" s="12">
        <f t="shared" si="28"/>
        <v>0.39484815638014015</v>
      </c>
      <c r="CE67" s="12">
        <f t="shared" si="28"/>
        <v>0.39484815638014015</v>
      </c>
      <c r="CF67" s="12">
        <f t="shared" si="28"/>
        <v>0.39484815638014015</v>
      </c>
      <c r="CG67" s="12">
        <f t="shared" si="28"/>
        <v>0.39484815638014015</v>
      </c>
      <c r="CH67" s="12">
        <f t="shared" si="29"/>
        <v>0.39484815638014015</v>
      </c>
      <c r="CI67" s="12">
        <f t="shared" si="29"/>
        <v>0.39484815638014015</v>
      </c>
      <c r="CJ67" s="12">
        <f t="shared" si="29"/>
        <v>0.39484815638014015</v>
      </c>
      <c r="CK67" s="12">
        <f t="shared" si="29"/>
        <v>0.39484815638014015</v>
      </c>
      <c r="CL67" s="12">
        <f t="shared" si="29"/>
        <v>0.39484815638014015</v>
      </c>
      <c r="CM67" s="12">
        <f t="shared" si="29"/>
        <v>0.39484815638014015</v>
      </c>
      <c r="CN67" s="12">
        <f t="shared" si="29"/>
        <v>0.39484815638014015</v>
      </c>
      <c r="CO67" s="12">
        <f t="shared" si="29"/>
        <v>0.39484815638014015</v>
      </c>
      <c r="CP67" s="12">
        <f t="shared" si="29"/>
        <v>0.39484815638014015</v>
      </c>
      <c r="CQ67" s="12">
        <f t="shared" si="29"/>
        <v>0.39484815638014015</v>
      </c>
      <c r="CR67" s="12">
        <f t="shared" si="29"/>
        <v>0.39484815638014015</v>
      </c>
      <c r="CS67" s="12">
        <f t="shared" si="29"/>
        <v>0.39484815638014015</v>
      </c>
      <c r="CT67" s="12">
        <f t="shared" si="29"/>
        <v>0.39484815638014015</v>
      </c>
      <c r="CU67" s="11">
        <f t="shared" si="29"/>
        <v>0.39484815638014015</v>
      </c>
      <c r="CW67" s="16"/>
      <c r="CX67" s="11">
        <f t="shared" si="30"/>
        <v>181.54555308595795</v>
      </c>
      <c r="CY67" s="12">
        <f t="shared" si="30"/>
        <v>173.80238309085951</v>
      </c>
      <c r="CZ67" s="12">
        <f t="shared" si="30"/>
        <v>166.10174913752502</v>
      </c>
      <c r="DA67" s="12">
        <f t="shared" si="30"/>
        <v>158.48565639706507</v>
      </c>
      <c r="DB67" s="12">
        <f t="shared" si="30"/>
        <v>150.99505604544822</v>
      </c>
      <c r="DC67" s="12">
        <f t="shared" si="30"/>
        <v>143.66933746749118</v>
      </c>
      <c r="DD67" s="12">
        <f t="shared" si="30"/>
        <v>136.54584304946749</v>
      </c>
      <c r="DE67" s="12">
        <f t="shared" si="30"/>
        <v>129.65941235079123</v>
      </c>
      <c r="DF67" s="12">
        <f t="shared" si="30"/>
        <v>123.04196184362074</v>
      </c>
      <c r="DG67" s="12">
        <f t="shared" si="30"/>
        <v>116.72210569536225</v>
      </c>
      <c r="DH67" s="12">
        <f t="shared" si="30"/>
        <v>110.72482226578826</v>
      </c>
      <c r="DI67" s="12">
        <f t="shared" si="30"/>
        <v>105.07117012286285</v>
      </c>
      <c r="DJ67" s="12">
        <f t="shared" si="30"/>
        <v>99.778056475538648</v>
      </c>
      <c r="DK67" s="12">
        <f t="shared" si="30"/>
        <v>94.85806000388817</v>
      </c>
      <c r="DL67" s="12">
        <f t="shared" si="30"/>
        <v>90.319309162045528</v>
      </c>
      <c r="DM67" s="12">
        <f t="shared" si="30"/>
        <v>86.165416160585579</v>
      </c>
      <c r="DN67" s="12">
        <f t="shared" si="31"/>
        <v>82.395466022310231</v>
      </c>
      <c r="DO67" s="12">
        <f t="shared" si="31"/>
        <v>79.004059365524597</v>
      </c>
      <c r="DP67" s="12">
        <f t="shared" si="31"/>
        <v>75.981406914312018</v>
      </c>
      <c r="DQ67" s="12">
        <f t="shared" si="31"/>
        <v>73.313473174282848</v>
      </c>
      <c r="DR67" s="12">
        <f t="shared" si="31"/>
        <v>70.982166248629397</v>
      </c>
      <c r="DS67" s="12">
        <f t="shared" si="31"/>
        <v>68.965570402694908</v>
      </c>
      <c r="DT67" s="12">
        <f t="shared" si="31"/>
        <v>67.238217711384593</v>
      </c>
      <c r="DU67" s="12">
        <f t="shared" si="31"/>
        <v>65.771394934939991</v>
      </c>
      <c r="DV67" s="12">
        <f t="shared" si="31"/>
        <v>64.53348165441507</v>
      </c>
      <c r="DW67" s="12">
        <f t="shared" si="31"/>
        <v>63.49031564613049</v>
      </c>
      <c r="DX67" s="12">
        <f t="shared" si="31"/>
        <v>62.605581470662685</v>
      </c>
      <c r="DY67" s="12">
        <f t="shared" si="31"/>
        <v>61.841218282297177</v>
      </c>
      <c r="DZ67" s="12">
        <f t="shared" si="31"/>
        <v>61.157842915403378</v>
      </c>
      <c r="EA67" s="11">
        <f t="shared" si="31"/>
        <v>60.51518436198598</v>
      </c>
    </row>
    <row r="68" spans="5:131" x14ac:dyDescent="0.3">
      <c r="E68" s="16"/>
      <c r="F68" s="11">
        <f t="shared" si="32"/>
        <v>300</v>
      </c>
      <c r="G68" s="12">
        <f t="shared" si="32"/>
        <v>287.20458331783169</v>
      </c>
      <c r="H68" s="12">
        <f t="shared" si="32"/>
        <v>274.47945650127718</v>
      </c>
      <c r="I68" s="12">
        <f t="shared" si="32"/>
        <v>261.8940321639696</v>
      </c>
      <c r="J68" s="12">
        <f t="shared" si="32"/>
        <v>249.51598121594628</v>
      </c>
      <c r="K68" s="12">
        <f t="shared" si="32"/>
        <v>237.41039374200503</v>
      </c>
      <c r="L68" s="12">
        <f t="shared" si="32"/>
        <v>225.63897720725103</v>
      </c>
      <c r="M68" s="12">
        <f t="shared" si="32"/>
        <v>214.25930321091414</v>
      </c>
      <c r="N68" s="12">
        <f t="shared" si="32"/>
        <v>203.32411301536479</v>
      </c>
      <c r="O68" s="12">
        <f t="shared" si="32"/>
        <v>192.88069089761203</v>
      </c>
      <c r="P68" s="12">
        <f t="shared" si="32"/>
        <v>182.97031304318824</v>
      </c>
      <c r="Q68" s="12">
        <f t="shared" si="32"/>
        <v>173.62777826859892</v>
      </c>
      <c r="R68" s="12">
        <f t="shared" si="32"/>
        <v>164.88102536165545</v>
      </c>
      <c r="S68" s="12">
        <f t="shared" si="32"/>
        <v>156.75084031219689</v>
      </c>
      <c r="T68" s="12">
        <f t="shared" si="32"/>
        <v>149.25065521039991</v>
      </c>
      <c r="U68" s="12">
        <f t="shared" si="32"/>
        <v>142.38643915412473</v>
      </c>
      <c r="V68" s="12">
        <f t="shared" si="32"/>
        <v>136.15668016384473</v>
      </c>
      <c r="W68" s="12">
        <f t="shared" si="32"/>
        <v>130.55245588106121</v>
      </c>
      <c r="X68" s="12">
        <f t="shared" si="32"/>
        <v>125.55758974443694</v>
      </c>
      <c r="Y68" s="12">
        <f t="shared" si="32"/>
        <v>121.14888841078441</v>
      </c>
      <c r="Z68" s="12">
        <f t="shared" si="32"/>
        <v>117.29645542188662</v>
      </c>
      <c r="AA68" s="12">
        <f t="shared" si="32"/>
        <v>113.96407551228948</v>
      </c>
      <c r="AB68" s="12">
        <f t="shared" si="32"/>
        <v>111.10966350062354</v>
      </c>
      <c r="AC68" s="12">
        <f t="shared" si="32"/>
        <v>108.68577139501505</v>
      </c>
      <c r="AD68" s="12">
        <f t="shared" si="32"/>
        <v>106.64014715446075</v>
      </c>
      <c r="AE68" s="12">
        <f t="shared" si="32"/>
        <v>104.91633846200989</v>
      </c>
      <c r="AF68" s="12">
        <f t="shared" si="32"/>
        <v>103.4543348594503</v>
      </c>
      <c r="AG68" s="12">
        <f t="shared" si="35"/>
        <v>102.19124164338524</v>
      </c>
      <c r="AH68" s="12">
        <f t="shared" si="33"/>
        <v>101.06197900608413</v>
      </c>
      <c r="AI68" s="11">
        <f t="shared" si="33"/>
        <v>100</v>
      </c>
      <c r="AK68" s="18"/>
      <c r="AL68" s="11">
        <f t="shared" si="34"/>
        <v>-1076400000</v>
      </c>
      <c r="AM68" s="12">
        <f t="shared" si="26"/>
        <v>-1030490044.9443803</v>
      </c>
      <c r="AN68" s="12">
        <f t="shared" si="26"/>
        <v>-984832289.92658269</v>
      </c>
      <c r="AO68" s="12">
        <f t="shared" si="26"/>
        <v>-939675787.40432286</v>
      </c>
      <c r="AP68" s="12">
        <f t="shared" si="26"/>
        <v>-895263340.60281527</v>
      </c>
      <c r="AQ68" s="12">
        <f t="shared" si="26"/>
        <v>-851828492.74631393</v>
      </c>
      <c r="AR68" s="12">
        <f t="shared" si="26"/>
        <v>-809592650.21961665</v>
      </c>
      <c r="AS68" s="12">
        <f t="shared" si="26"/>
        <v>-768762379.92075992</v>
      </c>
      <c r="AT68" s="12">
        <f t="shared" si="26"/>
        <v>-729526917.4991287</v>
      </c>
      <c r="AU68" s="12">
        <f t="shared" si="26"/>
        <v>-692055918.94063199</v>
      </c>
      <c r="AV68" s="12">
        <f t="shared" si="26"/>
        <v>-656497483.19895935</v>
      </c>
      <c r="AW68" s="12">
        <f t="shared" si="26"/>
        <v>-622976468.42773294</v>
      </c>
      <c r="AX68" s="12">
        <f t="shared" si="26"/>
        <v>-591593118.99761975</v>
      </c>
      <c r="AY68" s="12">
        <f t="shared" si="26"/>
        <v>-562422015.04016244</v>
      </c>
      <c r="AZ68" s="12">
        <f t="shared" si="26"/>
        <v>-535511350.89491487</v>
      </c>
      <c r="BA68" s="12">
        <f t="shared" si="26"/>
        <v>-510882543.68499953</v>
      </c>
      <c r="BB68" s="12">
        <f t="shared" si="26"/>
        <v>-488530168.42787486</v>
      </c>
      <c r="BC68" s="12">
        <f t="shared" si="27"/>
        <v>-468422211.70124751</v>
      </c>
      <c r="BD68" s="12">
        <f t="shared" si="27"/>
        <v>-450500632.00303972</v>
      </c>
      <c r="BE68" s="12">
        <f t="shared" si="27"/>
        <v>-434682211.61789441</v>
      </c>
      <c r="BF68" s="12">
        <f t="shared" si="27"/>
        <v>-420859682.05372918</v>
      </c>
      <c r="BG68" s="12">
        <f t="shared" si="27"/>
        <v>-408903102.93809462</v>
      </c>
      <c r="BH68" s="12">
        <f t="shared" si="27"/>
        <v>-398661472.64023733</v>
      </c>
      <c r="BI68" s="12">
        <f t="shared" si="27"/>
        <v>-389964547.76531398</v>
      </c>
      <c r="BJ68" s="12">
        <f t="shared" si="27"/>
        <v>-382624847.99020511</v>
      </c>
      <c r="BK68" s="12">
        <f t="shared" si="27"/>
        <v>-376439822.4016915</v>
      </c>
      <c r="BL68" s="12">
        <f t="shared" si="27"/>
        <v>-371194153.47570771</v>
      </c>
      <c r="BM68" s="12">
        <f t="shared" si="27"/>
        <v>-366662175.01646626</v>
      </c>
      <c r="BN68" s="12">
        <f t="shared" si="27"/>
        <v>-362610380.67382985</v>
      </c>
      <c r="BO68" s="11">
        <f t="shared" si="27"/>
        <v>-358800000</v>
      </c>
      <c r="BQ68" s="16"/>
      <c r="BR68" s="11">
        <f t="shared" si="28"/>
        <v>0.39484815638014015</v>
      </c>
      <c r="BS68" s="12">
        <f t="shared" si="28"/>
        <v>0.39484815638014015</v>
      </c>
      <c r="BT68" s="12">
        <f t="shared" si="28"/>
        <v>0.39484815638014015</v>
      </c>
      <c r="BU68" s="12">
        <f t="shared" si="28"/>
        <v>0.39484815638014015</v>
      </c>
      <c r="BV68" s="12">
        <f t="shared" si="28"/>
        <v>0.39484815638014015</v>
      </c>
      <c r="BW68" s="12">
        <f t="shared" si="28"/>
        <v>0.39484815638014015</v>
      </c>
      <c r="BX68" s="12">
        <f t="shared" si="28"/>
        <v>0.39484815638014015</v>
      </c>
      <c r="BY68" s="12">
        <f t="shared" si="28"/>
        <v>0.39484815638014015</v>
      </c>
      <c r="BZ68" s="12">
        <f t="shared" si="28"/>
        <v>0.39484815638014015</v>
      </c>
      <c r="CA68" s="12">
        <f t="shared" si="28"/>
        <v>0.39484815638014015</v>
      </c>
      <c r="CB68" s="12">
        <f t="shared" si="28"/>
        <v>0.39484815638014015</v>
      </c>
      <c r="CC68" s="12">
        <f t="shared" si="28"/>
        <v>0.39484815638014015</v>
      </c>
      <c r="CD68" s="12">
        <f t="shared" si="28"/>
        <v>0.39484815638014015</v>
      </c>
      <c r="CE68" s="12">
        <f t="shared" si="28"/>
        <v>0.39484815638014015</v>
      </c>
      <c r="CF68" s="12">
        <f t="shared" si="28"/>
        <v>0.39484815638014015</v>
      </c>
      <c r="CG68" s="12">
        <f t="shared" si="28"/>
        <v>0.39484815638014015</v>
      </c>
      <c r="CH68" s="12">
        <f t="shared" si="29"/>
        <v>0.39484815638014015</v>
      </c>
      <c r="CI68" s="12">
        <f t="shared" si="29"/>
        <v>0.39484815638014015</v>
      </c>
      <c r="CJ68" s="12">
        <f t="shared" si="29"/>
        <v>0.39484815638014015</v>
      </c>
      <c r="CK68" s="12">
        <f t="shared" si="29"/>
        <v>0.39484815638014015</v>
      </c>
      <c r="CL68" s="12">
        <f t="shared" si="29"/>
        <v>0.39484815638014015</v>
      </c>
      <c r="CM68" s="12">
        <f t="shared" si="29"/>
        <v>0.39484815638014015</v>
      </c>
      <c r="CN68" s="12">
        <f t="shared" si="29"/>
        <v>0.39484815638014015</v>
      </c>
      <c r="CO68" s="12">
        <f t="shared" si="29"/>
        <v>0.39484815638014015</v>
      </c>
      <c r="CP68" s="12">
        <f t="shared" si="29"/>
        <v>0.39484815638014015</v>
      </c>
      <c r="CQ68" s="12">
        <f t="shared" si="29"/>
        <v>0.39484815638014015</v>
      </c>
      <c r="CR68" s="12">
        <f t="shared" si="29"/>
        <v>0.39484815638014015</v>
      </c>
      <c r="CS68" s="12">
        <f t="shared" si="29"/>
        <v>0.39484815638014015</v>
      </c>
      <c r="CT68" s="12">
        <f t="shared" si="29"/>
        <v>0.39484815638014015</v>
      </c>
      <c r="CU68" s="11">
        <f t="shared" si="29"/>
        <v>0.39484815638014015</v>
      </c>
      <c r="CW68" s="16"/>
      <c r="CX68" s="11">
        <f t="shared" si="30"/>
        <v>181.54555308595795</v>
      </c>
      <c r="CY68" s="12">
        <f t="shared" si="30"/>
        <v>173.80238309085951</v>
      </c>
      <c r="CZ68" s="12">
        <f t="shared" si="30"/>
        <v>166.10174913752502</v>
      </c>
      <c r="DA68" s="12">
        <f t="shared" si="30"/>
        <v>158.48565639706507</v>
      </c>
      <c r="DB68" s="12">
        <f t="shared" si="30"/>
        <v>150.99505604544822</v>
      </c>
      <c r="DC68" s="12">
        <f t="shared" si="30"/>
        <v>143.66933746749118</v>
      </c>
      <c r="DD68" s="12">
        <f t="shared" si="30"/>
        <v>136.54584304946749</v>
      </c>
      <c r="DE68" s="12">
        <f t="shared" si="30"/>
        <v>129.65941235079126</v>
      </c>
      <c r="DF68" s="12">
        <f t="shared" si="30"/>
        <v>123.04196184362074</v>
      </c>
      <c r="DG68" s="12">
        <f t="shared" si="30"/>
        <v>116.72210569536225</v>
      </c>
      <c r="DH68" s="12">
        <f t="shared" si="30"/>
        <v>110.72482226578826</v>
      </c>
      <c r="DI68" s="12">
        <f t="shared" si="30"/>
        <v>105.07117012286288</v>
      </c>
      <c r="DJ68" s="12">
        <f t="shared" si="30"/>
        <v>99.778056475538676</v>
      </c>
      <c r="DK68" s="12">
        <f t="shared" si="30"/>
        <v>94.858060003888198</v>
      </c>
      <c r="DL68" s="12">
        <f t="shared" si="30"/>
        <v>90.319309162045556</v>
      </c>
      <c r="DM68" s="12">
        <f t="shared" si="30"/>
        <v>86.165416160585593</v>
      </c>
      <c r="DN68" s="12">
        <f t="shared" si="31"/>
        <v>82.395466022310245</v>
      </c>
      <c r="DO68" s="12">
        <f t="shared" si="31"/>
        <v>79.004059365524611</v>
      </c>
      <c r="DP68" s="12">
        <f t="shared" si="31"/>
        <v>75.981406914312032</v>
      </c>
      <c r="DQ68" s="12">
        <f t="shared" si="31"/>
        <v>73.313473174282862</v>
      </c>
      <c r="DR68" s="12">
        <f t="shared" si="31"/>
        <v>70.982166248629397</v>
      </c>
      <c r="DS68" s="12">
        <f t="shared" si="31"/>
        <v>68.965570402694908</v>
      </c>
      <c r="DT68" s="12">
        <f t="shared" si="31"/>
        <v>67.238217711384593</v>
      </c>
      <c r="DU68" s="12">
        <f t="shared" si="31"/>
        <v>65.771394934939991</v>
      </c>
      <c r="DV68" s="12">
        <f t="shared" si="31"/>
        <v>64.53348165441507</v>
      </c>
      <c r="DW68" s="12">
        <f t="shared" si="31"/>
        <v>63.490315646130504</v>
      </c>
      <c r="DX68" s="12">
        <f t="shared" si="31"/>
        <v>62.605581470662685</v>
      </c>
      <c r="DY68" s="12">
        <f t="shared" si="31"/>
        <v>61.841218282297177</v>
      </c>
      <c r="DZ68" s="12">
        <f t="shared" si="31"/>
        <v>61.157842915403378</v>
      </c>
      <c r="EA68" s="11">
        <f t="shared" si="31"/>
        <v>60.51518436198598</v>
      </c>
    </row>
    <row r="69" spans="5:131" x14ac:dyDescent="0.3">
      <c r="E69" s="16"/>
      <c r="F69" s="11">
        <f t="shared" si="32"/>
        <v>300</v>
      </c>
      <c r="G69" s="12">
        <f t="shared" si="32"/>
        <v>287.20458331783169</v>
      </c>
      <c r="H69" s="12">
        <f t="shared" si="32"/>
        <v>274.47945650127718</v>
      </c>
      <c r="I69" s="12">
        <f t="shared" si="32"/>
        <v>261.8940321639696</v>
      </c>
      <c r="J69" s="12">
        <f t="shared" si="32"/>
        <v>249.51598121594628</v>
      </c>
      <c r="K69" s="12">
        <f t="shared" si="32"/>
        <v>237.41039374200503</v>
      </c>
      <c r="L69" s="12">
        <f t="shared" si="32"/>
        <v>225.63897720725103</v>
      </c>
      <c r="M69" s="12">
        <f t="shared" si="32"/>
        <v>214.25930321091414</v>
      </c>
      <c r="N69" s="12">
        <f t="shared" si="32"/>
        <v>203.32411301536479</v>
      </c>
      <c r="O69" s="12">
        <f t="shared" si="32"/>
        <v>192.88069089761206</v>
      </c>
      <c r="P69" s="12">
        <f t="shared" si="32"/>
        <v>182.97031304318824</v>
      </c>
      <c r="Q69" s="12">
        <f t="shared" si="32"/>
        <v>173.62777826859895</v>
      </c>
      <c r="R69" s="12">
        <f t="shared" si="32"/>
        <v>164.88102536165547</v>
      </c>
      <c r="S69" s="12">
        <f t="shared" si="32"/>
        <v>156.75084031219691</v>
      </c>
      <c r="T69" s="12">
        <f t="shared" si="32"/>
        <v>149.25065521039994</v>
      </c>
      <c r="U69" s="12">
        <f t="shared" si="32"/>
        <v>142.38643915412479</v>
      </c>
      <c r="V69" s="12">
        <f t="shared" si="32"/>
        <v>136.15668016384475</v>
      </c>
      <c r="W69" s="12">
        <f t="shared" si="32"/>
        <v>130.55245588106123</v>
      </c>
      <c r="X69" s="12">
        <f t="shared" si="32"/>
        <v>125.55758974443697</v>
      </c>
      <c r="Y69" s="12">
        <f t="shared" si="32"/>
        <v>121.14888841078442</v>
      </c>
      <c r="Z69" s="12">
        <f t="shared" si="32"/>
        <v>117.29645542188662</v>
      </c>
      <c r="AA69" s="12">
        <f t="shared" si="32"/>
        <v>113.9640755122895</v>
      </c>
      <c r="AB69" s="12">
        <f t="shared" si="32"/>
        <v>111.10966350062355</v>
      </c>
      <c r="AC69" s="12">
        <f t="shared" si="32"/>
        <v>108.68577139501505</v>
      </c>
      <c r="AD69" s="12">
        <f t="shared" si="32"/>
        <v>106.64014715446075</v>
      </c>
      <c r="AE69" s="12">
        <f t="shared" si="32"/>
        <v>104.91633846200992</v>
      </c>
      <c r="AF69" s="12">
        <f t="shared" si="32"/>
        <v>103.45433485945031</v>
      </c>
      <c r="AG69" s="12">
        <f t="shared" si="35"/>
        <v>102.19124164338524</v>
      </c>
      <c r="AH69" s="12">
        <f t="shared" si="33"/>
        <v>101.06197900608413</v>
      </c>
      <c r="AI69" s="11">
        <f t="shared" si="33"/>
        <v>100</v>
      </c>
      <c r="AK69" s="18"/>
      <c r="AL69" s="11">
        <f t="shared" si="34"/>
        <v>-1076400000</v>
      </c>
      <c r="AM69" s="12">
        <f t="shared" si="26"/>
        <v>-1030490044.9443803</v>
      </c>
      <c r="AN69" s="12">
        <f t="shared" si="26"/>
        <v>-984832289.92658269</v>
      </c>
      <c r="AO69" s="12">
        <f t="shared" si="26"/>
        <v>-939675787.40432286</v>
      </c>
      <c r="AP69" s="12">
        <f t="shared" si="26"/>
        <v>-895263340.60281527</v>
      </c>
      <c r="AQ69" s="12">
        <f t="shared" si="26"/>
        <v>-851828492.74631393</v>
      </c>
      <c r="AR69" s="12">
        <f t="shared" si="26"/>
        <v>-809592650.21961665</v>
      </c>
      <c r="AS69" s="12">
        <f t="shared" si="26"/>
        <v>-768762379.92075992</v>
      </c>
      <c r="AT69" s="12">
        <f t="shared" si="26"/>
        <v>-729526917.4991287</v>
      </c>
      <c r="AU69" s="12">
        <f t="shared" si="26"/>
        <v>-692055918.94063199</v>
      </c>
      <c r="AV69" s="12">
        <f t="shared" si="26"/>
        <v>-656497483.19895935</v>
      </c>
      <c r="AW69" s="12">
        <f t="shared" si="26"/>
        <v>-622976468.42773306</v>
      </c>
      <c r="AX69" s="12">
        <f t="shared" si="26"/>
        <v>-591593118.99761987</v>
      </c>
      <c r="AY69" s="12">
        <f t="shared" si="26"/>
        <v>-562422015.04016256</v>
      </c>
      <c r="AZ69" s="12">
        <f t="shared" si="26"/>
        <v>-535511350.89491498</v>
      </c>
      <c r="BA69" s="12">
        <f t="shared" si="26"/>
        <v>-510882543.68499964</v>
      </c>
      <c r="BB69" s="12">
        <f t="shared" si="26"/>
        <v>-488530168.42787498</v>
      </c>
      <c r="BC69" s="12">
        <f t="shared" si="27"/>
        <v>-468422211.70124769</v>
      </c>
      <c r="BD69" s="12">
        <f t="shared" si="27"/>
        <v>-450500632.00303984</v>
      </c>
      <c r="BE69" s="12">
        <f t="shared" si="27"/>
        <v>-434682211.61789453</v>
      </c>
      <c r="BF69" s="12">
        <f t="shared" si="27"/>
        <v>-420859682.05372924</v>
      </c>
      <c r="BG69" s="12">
        <f t="shared" si="27"/>
        <v>-408903102.93809474</v>
      </c>
      <c r="BH69" s="12">
        <f t="shared" si="27"/>
        <v>-398661472.64023733</v>
      </c>
      <c r="BI69" s="12">
        <f t="shared" si="27"/>
        <v>-389964547.76531398</v>
      </c>
      <c r="BJ69" s="12">
        <f t="shared" si="27"/>
        <v>-382624847.99020517</v>
      </c>
      <c r="BK69" s="12">
        <f t="shared" si="27"/>
        <v>-376439822.40169156</v>
      </c>
      <c r="BL69" s="12">
        <f t="shared" si="27"/>
        <v>-371194153.47570771</v>
      </c>
      <c r="BM69" s="12">
        <f t="shared" si="27"/>
        <v>-366662175.01646626</v>
      </c>
      <c r="BN69" s="12">
        <f t="shared" si="27"/>
        <v>-362610380.67382985</v>
      </c>
      <c r="BO69" s="11">
        <f t="shared" si="27"/>
        <v>-358800000</v>
      </c>
      <c r="BQ69" s="16"/>
      <c r="BR69" s="11">
        <f t="shared" si="28"/>
        <v>0.39484815638014015</v>
      </c>
      <c r="BS69" s="12">
        <f t="shared" si="28"/>
        <v>0.39484815638014015</v>
      </c>
      <c r="BT69" s="12">
        <f t="shared" si="28"/>
        <v>0.39484815638014015</v>
      </c>
      <c r="BU69" s="12">
        <f t="shared" si="28"/>
        <v>0.39484815638014015</v>
      </c>
      <c r="BV69" s="12">
        <f t="shared" si="28"/>
        <v>0.39484815638014015</v>
      </c>
      <c r="BW69" s="12">
        <f t="shared" si="28"/>
        <v>0.39484815638014015</v>
      </c>
      <c r="BX69" s="12">
        <f t="shared" si="28"/>
        <v>0.39484815638014015</v>
      </c>
      <c r="BY69" s="12">
        <f t="shared" si="28"/>
        <v>0.39484815638014015</v>
      </c>
      <c r="BZ69" s="12">
        <f t="shared" si="28"/>
        <v>0.39484815638014015</v>
      </c>
      <c r="CA69" s="12">
        <f t="shared" si="28"/>
        <v>0.39484815638014015</v>
      </c>
      <c r="CB69" s="12">
        <f t="shared" si="28"/>
        <v>0.39484815638014015</v>
      </c>
      <c r="CC69" s="12">
        <f t="shared" si="28"/>
        <v>0.39484815638014015</v>
      </c>
      <c r="CD69" s="12">
        <f t="shared" si="28"/>
        <v>0.39484815638014015</v>
      </c>
      <c r="CE69" s="12">
        <f t="shared" si="28"/>
        <v>0.39484815638014015</v>
      </c>
      <c r="CF69" s="12">
        <f t="shared" si="28"/>
        <v>0.39484815638014015</v>
      </c>
      <c r="CG69" s="12">
        <f t="shared" si="28"/>
        <v>0.39484815638014015</v>
      </c>
      <c r="CH69" s="12">
        <f t="shared" si="29"/>
        <v>0.39484815638014015</v>
      </c>
      <c r="CI69" s="12">
        <f t="shared" si="29"/>
        <v>0.39484815638014015</v>
      </c>
      <c r="CJ69" s="12">
        <f t="shared" si="29"/>
        <v>0.39484815638014015</v>
      </c>
      <c r="CK69" s="12">
        <f t="shared" si="29"/>
        <v>0.39484815638014015</v>
      </c>
      <c r="CL69" s="12">
        <f t="shared" si="29"/>
        <v>0.39484815638014015</v>
      </c>
      <c r="CM69" s="12">
        <f t="shared" si="29"/>
        <v>0.39484815638014015</v>
      </c>
      <c r="CN69" s="12">
        <f t="shared" si="29"/>
        <v>0.39484815638014015</v>
      </c>
      <c r="CO69" s="12">
        <f t="shared" si="29"/>
        <v>0.39484815638014015</v>
      </c>
      <c r="CP69" s="12">
        <f t="shared" si="29"/>
        <v>0.39484815638014015</v>
      </c>
      <c r="CQ69" s="12">
        <f t="shared" si="29"/>
        <v>0.39484815638014015</v>
      </c>
      <c r="CR69" s="12">
        <f t="shared" si="29"/>
        <v>0.39484815638014015</v>
      </c>
      <c r="CS69" s="12">
        <f t="shared" si="29"/>
        <v>0.39484815638014015</v>
      </c>
      <c r="CT69" s="12">
        <f t="shared" si="29"/>
        <v>0.39484815638014015</v>
      </c>
      <c r="CU69" s="11">
        <f t="shared" si="29"/>
        <v>0.39484815638014015</v>
      </c>
      <c r="CW69" s="16"/>
      <c r="CX69" s="11">
        <f t="shared" si="30"/>
        <v>181.54555308595795</v>
      </c>
      <c r="CY69" s="12">
        <f t="shared" si="30"/>
        <v>173.80238309085951</v>
      </c>
      <c r="CZ69" s="12">
        <f t="shared" si="30"/>
        <v>166.10174913752502</v>
      </c>
      <c r="DA69" s="12">
        <f t="shared" si="30"/>
        <v>158.48565639706507</v>
      </c>
      <c r="DB69" s="12">
        <f t="shared" si="30"/>
        <v>150.99505604544822</v>
      </c>
      <c r="DC69" s="12">
        <f t="shared" si="30"/>
        <v>143.66933746749118</v>
      </c>
      <c r="DD69" s="12">
        <f t="shared" si="30"/>
        <v>136.54584304946749</v>
      </c>
      <c r="DE69" s="12">
        <f t="shared" si="30"/>
        <v>129.65941235079126</v>
      </c>
      <c r="DF69" s="12">
        <f t="shared" si="30"/>
        <v>123.04196184362074</v>
      </c>
      <c r="DG69" s="12">
        <f t="shared" si="30"/>
        <v>116.72210569536226</v>
      </c>
      <c r="DH69" s="12">
        <f t="shared" si="30"/>
        <v>110.72482226578826</v>
      </c>
      <c r="DI69" s="12">
        <f t="shared" si="30"/>
        <v>105.07117012286291</v>
      </c>
      <c r="DJ69" s="12">
        <f t="shared" si="30"/>
        <v>99.778056475538691</v>
      </c>
      <c r="DK69" s="12">
        <f t="shared" si="30"/>
        <v>94.858060003888227</v>
      </c>
      <c r="DL69" s="12">
        <f t="shared" si="30"/>
        <v>90.319309162045585</v>
      </c>
      <c r="DM69" s="12">
        <f t="shared" si="30"/>
        <v>86.165416160585622</v>
      </c>
      <c r="DN69" s="12">
        <f t="shared" si="31"/>
        <v>82.395466022310274</v>
      </c>
      <c r="DO69" s="12">
        <f t="shared" si="31"/>
        <v>79.004059365524625</v>
      </c>
      <c r="DP69" s="12">
        <f t="shared" si="31"/>
        <v>75.981406914312046</v>
      </c>
      <c r="DQ69" s="12">
        <f t="shared" si="31"/>
        <v>73.313473174282876</v>
      </c>
      <c r="DR69" s="12">
        <f t="shared" si="31"/>
        <v>70.982166248629397</v>
      </c>
      <c r="DS69" s="12">
        <f t="shared" si="31"/>
        <v>68.965570402694922</v>
      </c>
      <c r="DT69" s="12">
        <f t="shared" si="31"/>
        <v>67.238217711384607</v>
      </c>
      <c r="DU69" s="12">
        <f t="shared" si="31"/>
        <v>65.771394934939991</v>
      </c>
      <c r="DV69" s="12">
        <f t="shared" si="31"/>
        <v>64.533481654415084</v>
      </c>
      <c r="DW69" s="12">
        <f t="shared" si="31"/>
        <v>63.490315646130519</v>
      </c>
      <c r="DX69" s="12">
        <f t="shared" si="31"/>
        <v>62.605581470662699</v>
      </c>
      <c r="DY69" s="12">
        <f t="shared" si="31"/>
        <v>61.841218282297177</v>
      </c>
      <c r="DZ69" s="12">
        <f t="shared" si="31"/>
        <v>61.157842915403378</v>
      </c>
      <c r="EA69" s="11">
        <f t="shared" si="31"/>
        <v>60.51518436198598</v>
      </c>
    </row>
    <row r="70" spans="5:131" x14ac:dyDescent="0.3">
      <c r="E70" s="16"/>
      <c r="F70" s="11">
        <f t="shared" si="32"/>
        <v>300</v>
      </c>
      <c r="G70" s="12">
        <f t="shared" si="32"/>
        <v>287.20458331783175</v>
      </c>
      <c r="H70" s="12">
        <f t="shared" si="32"/>
        <v>274.47945650127724</v>
      </c>
      <c r="I70" s="12">
        <f t="shared" si="32"/>
        <v>261.8940321639696</v>
      </c>
      <c r="J70" s="12">
        <f t="shared" si="32"/>
        <v>249.51598121594628</v>
      </c>
      <c r="K70" s="12">
        <f t="shared" si="32"/>
        <v>237.41039374200503</v>
      </c>
      <c r="L70" s="12">
        <f t="shared" si="32"/>
        <v>225.63897720725106</v>
      </c>
      <c r="M70" s="12">
        <f t="shared" si="32"/>
        <v>214.25930321091417</v>
      </c>
      <c r="N70" s="12">
        <f t="shared" si="32"/>
        <v>203.32411301536479</v>
      </c>
      <c r="O70" s="12">
        <f t="shared" si="32"/>
        <v>192.88069089761208</v>
      </c>
      <c r="P70" s="12">
        <f t="shared" si="32"/>
        <v>182.9703130431883</v>
      </c>
      <c r="Q70" s="12">
        <f t="shared" si="32"/>
        <v>173.62777826859897</v>
      </c>
      <c r="R70" s="12">
        <f t="shared" si="32"/>
        <v>164.8810253616555</v>
      </c>
      <c r="S70" s="12">
        <f t="shared" si="32"/>
        <v>156.75084031219694</v>
      </c>
      <c r="T70" s="12">
        <f t="shared" si="32"/>
        <v>149.2506552104</v>
      </c>
      <c r="U70" s="12">
        <f t="shared" si="32"/>
        <v>142.38643915412482</v>
      </c>
      <c r="V70" s="12">
        <f t="shared" si="32"/>
        <v>136.15668016384481</v>
      </c>
      <c r="W70" s="12">
        <f t="shared" si="32"/>
        <v>130.55245588106126</v>
      </c>
      <c r="X70" s="12">
        <f t="shared" si="32"/>
        <v>125.557589744437</v>
      </c>
      <c r="Y70" s="12">
        <f t="shared" si="32"/>
        <v>121.14888841078445</v>
      </c>
      <c r="Z70" s="12">
        <f t="shared" si="32"/>
        <v>117.29645542188663</v>
      </c>
      <c r="AA70" s="12">
        <f t="shared" si="32"/>
        <v>113.9640755122895</v>
      </c>
      <c r="AB70" s="12">
        <f t="shared" si="32"/>
        <v>111.10966350062358</v>
      </c>
      <c r="AC70" s="12">
        <f t="shared" si="32"/>
        <v>108.68577139501508</v>
      </c>
      <c r="AD70" s="12">
        <f t="shared" si="32"/>
        <v>106.64014715446078</v>
      </c>
      <c r="AE70" s="12">
        <f t="shared" si="32"/>
        <v>104.91633846200995</v>
      </c>
      <c r="AF70" s="12">
        <f t="shared" si="32"/>
        <v>103.45433485945034</v>
      </c>
      <c r="AG70" s="12">
        <f t="shared" si="35"/>
        <v>102.19124164338524</v>
      </c>
      <c r="AH70" s="12">
        <f t="shared" si="33"/>
        <v>101.06197900608413</v>
      </c>
      <c r="AI70" s="11">
        <f t="shared" si="33"/>
        <v>100</v>
      </c>
      <c r="AK70" s="18"/>
      <c r="AL70" s="11">
        <f t="shared" si="34"/>
        <v>-1076400000</v>
      </c>
      <c r="AM70" s="12">
        <f t="shared" si="26"/>
        <v>-1030490044.9443803</v>
      </c>
      <c r="AN70" s="12">
        <f t="shared" si="26"/>
        <v>-984832289.92658269</v>
      </c>
      <c r="AO70" s="12">
        <f t="shared" si="26"/>
        <v>-939675787.40432286</v>
      </c>
      <c r="AP70" s="12">
        <f t="shared" si="26"/>
        <v>-895263340.60281539</v>
      </c>
      <c r="AQ70" s="12">
        <f t="shared" si="26"/>
        <v>-851828492.74631393</v>
      </c>
      <c r="AR70" s="12">
        <f t="shared" si="26"/>
        <v>-809592650.21961677</v>
      </c>
      <c r="AS70" s="12">
        <f t="shared" si="26"/>
        <v>-768762379.92076015</v>
      </c>
      <c r="AT70" s="12">
        <f t="shared" si="26"/>
        <v>-729526917.49912882</v>
      </c>
      <c r="AU70" s="12">
        <f t="shared" si="26"/>
        <v>-692055918.9406321</v>
      </c>
      <c r="AV70" s="12">
        <f t="shared" si="26"/>
        <v>-656497483.19895947</v>
      </c>
      <c r="AW70" s="12">
        <f t="shared" si="26"/>
        <v>-622976468.42773306</v>
      </c>
      <c r="AX70" s="12">
        <f t="shared" si="26"/>
        <v>-591593118.99761987</v>
      </c>
      <c r="AY70" s="12">
        <f t="shared" si="26"/>
        <v>-562422015.04016268</v>
      </c>
      <c r="AZ70" s="12">
        <f t="shared" si="26"/>
        <v>-535511350.8949151</v>
      </c>
      <c r="BA70" s="12">
        <f t="shared" si="26"/>
        <v>-510882543.68499982</v>
      </c>
      <c r="BB70" s="12">
        <f t="shared" si="26"/>
        <v>-488530168.4278751</v>
      </c>
      <c r="BC70" s="12">
        <f t="shared" si="27"/>
        <v>-468422211.70124781</v>
      </c>
      <c r="BD70" s="12">
        <f t="shared" si="27"/>
        <v>-450500632.00304002</v>
      </c>
      <c r="BE70" s="12">
        <f t="shared" si="27"/>
        <v>-434682211.61789459</v>
      </c>
      <c r="BF70" s="12">
        <f t="shared" si="27"/>
        <v>-420859682.05372924</v>
      </c>
      <c r="BG70" s="12">
        <f t="shared" si="27"/>
        <v>-408903102.93809474</v>
      </c>
      <c r="BH70" s="12">
        <f t="shared" si="27"/>
        <v>-398661472.64023739</v>
      </c>
      <c r="BI70" s="12">
        <f t="shared" si="27"/>
        <v>-389964547.7653141</v>
      </c>
      <c r="BJ70" s="12">
        <f t="shared" si="27"/>
        <v>-382624847.99020529</v>
      </c>
      <c r="BK70" s="12">
        <f t="shared" si="27"/>
        <v>-376439822.40169168</v>
      </c>
      <c r="BL70" s="12">
        <f t="shared" si="27"/>
        <v>-371194153.47570789</v>
      </c>
      <c r="BM70" s="12">
        <f t="shared" si="27"/>
        <v>-366662175.01646632</v>
      </c>
      <c r="BN70" s="12">
        <f t="shared" si="27"/>
        <v>-362610380.67382991</v>
      </c>
      <c r="BO70" s="11">
        <f t="shared" si="27"/>
        <v>-358800000</v>
      </c>
      <c r="BQ70" s="16"/>
      <c r="BR70" s="11">
        <f t="shared" si="28"/>
        <v>0.39484815638014015</v>
      </c>
      <c r="BS70" s="12">
        <f t="shared" si="28"/>
        <v>0.39484815638014015</v>
      </c>
      <c r="BT70" s="12">
        <f t="shared" si="28"/>
        <v>0.39484815638014015</v>
      </c>
      <c r="BU70" s="12">
        <f t="shared" si="28"/>
        <v>0.39484815638014015</v>
      </c>
      <c r="BV70" s="12">
        <f t="shared" si="28"/>
        <v>0.39484815638014015</v>
      </c>
      <c r="BW70" s="12">
        <f t="shared" si="28"/>
        <v>0.39484815638014015</v>
      </c>
      <c r="BX70" s="12">
        <f t="shared" si="28"/>
        <v>0.39484815638014015</v>
      </c>
      <c r="BY70" s="12">
        <f t="shared" si="28"/>
        <v>0.39484815638014015</v>
      </c>
      <c r="BZ70" s="12">
        <f t="shared" si="28"/>
        <v>0.39484815638014015</v>
      </c>
      <c r="CA70" s="12">
        <f t="shared" si="28"/>
        <v>0.39484815638014015</v>
      </c>
      <c r="CB70" s="12">
        <f t="shared" si="28"/>
        <v>0.39484815638014015</v>
      </c>
      <c r="CC70" s="12">
        <f t="shared" si="28"/>
        <v>0.39484815638014015</v>
      </c>
      <c r="CD70" s="12">
        <f t="shared" si="28"/>
        <v>0.39484815638014015</v>
      </c>
      <c r="CE70" s="12">
        <f t="shared" si="28"/>
        <v>0.39484815638014015</v>
      </c>
      <c r="CF70" s="12">
        <f t="shared" si="28"/>
        <v>0.39484815638014015</v>
      </c>
      <c r="CG70" s="12">
        <f t="shared" si="28"/>
        <v>0.39484815638014015</v>
      </c>
      <c r="CH70" s="12">
        <f t="shared" si="29"/>
        <v>0.39484815638014015</v>
      </c>
      <c r="CI70" s="12">
        <f t="shared" si="29"/>
        <v>0.39484815638014015</v>
      </c>
      <c r="CJ70" s="12">
        <f t="shared" si="29"/>
        <v>0.39484815638014015</v>
      </c>
      <c r="CK70" s="12">
        <f t="shared" si="29"/>
        <v>0.39484815638014015</v>
      </c>
      <c r="CL70" s="12">
        <f t="shared" si="29"/>
        <v>0.39484815638014015</v>
      </c>
      <c r="CM70" s="12">
        <f t="shared" si="29"/>
        <v>0.39484815638014015</v>
      </c>
      <c r="CN70" s="12">
        <f t="shared" si="29"/>
        <v>0.39484815638014015</v>
      </c>
      <c r="CO70" s="12">
        <f t="shared" si="29"/>
        <v>0.39484815638014015</v>
      </c>
      <c r="CP70" s="12">
        <f t="shared" si="29"/>
        <v>0.39484815638014015</v>
      </c>
      <c r="CQ70" s="12">
        <f t="shared" si="29"/>
        <v>0.39484815638014015</v>
      </c>
      <c r="CR70" s="12">
        <f t="shared" si="29"/>
        <v>0.39484815638014015</v>
      </c>
      <c r="CS70" s="12">
        <f t="shared" si="29"/>
        <v>0.39484815638014015</v>
      </c>
      <c r="CT70" s="12">
        <f t="shared" si="29"/>
        <v>0.39484815638014015</v>
      </c>
      <c r="CU70" s="11">
        <f t="shared" si="29"/>
        <v>0.39484815638014015</v>
      </c>
      <c r="CW70" s="16"/>
      <c r="CX70" s="11">
        <f t="shared" si="30"/>
        <v>181.54555308595795</v>
      </c>
      <c r="CY70" s="12">
        <f t="shared" si="30"/>
        <v>173.80238309085954</v>
      </c>
      <c r="CZ70" s="12">
        <f t="shared" si="30"/>
        <v>166.10174913752505</v>
      </c>
      <c r="DA70" s="12">
        <f t="shared" si="30"/>
        <v>158.48565639706507</v>
      </c>
      <c r="DB70" s="12">
        <f t="shared" si="30"/>
        <v>150.99505604544822</v>
      </c>
      <c r="DC70" s="12">
        <f t="shared" si="30"/>
        <v>143.66933746749118</v>
      </c>
      <c r="DD70" s="12">
        <f t="shared" si="30"/>
        <v>136.54584304946752</v>
      </c>
      <c r="DE70" s="12">
        <f t="shared" si="30"/>
        <v>129.65941235079129</v>
      </c>
      <c r="DF70" s="12">
        <f t="shared" si="30"/>
        <v>123.04196184362075</v>
      </c>
      <c r="DG70" s="12">
        <f t="shared" si="30"/>
        <v>116.72210569536229</v>
      </c>
      <c r="DH70" s="12">
        <f t="shared" si="30"/>
        <v>110.72482226578829</v>
      </c>
      <c r="DI70" s="12">
        <f t="shared" si="30"/>
        <v>105.07117012286292</v>
      </c>
      <c r="DJ70" s="12">
        <f t="shared" si="30"/>
        <v>99.778056475538705</v>
      </c>
      <c r="DK70" s="12">
        <f t="shared" si="30"/>
        <v>94.858060003888241</v>
      </c>
      <c r="DL70" s="12">
        <f t="shared" si="30"/>
        <v>90.319309162045613</v>
      </c>
      <c r="DM70" s="12">
        <f t="shared" si="30"/>
        <v>86.16541616058565</v>
      </c>
      <c r="DN70" s="12">
        <f t="shared" si="31"/>
        <v>82.395466022310302</v>
      </c>
      <c r="DO70" s="12">
        <f t="shared" si="31"/>
        <v>79.004059365524654</v>
      </c>
      <c r="DP70" s="12">
        <f t="shared" si="31"/>
        <v>75.981406914312075</v>
      </c>
      <c r="DQ70" s="12">
        <f t="shared" si="31"/>
        <v>73.31347317428289</v>
      </c>
      <c r="DR70" s="12">
        <f t="shared" si="31"/>
        <v>70.982166248629412</v>
      </c>
      <c r="DS70" s="12">
        <f t="shared" si="31"/>
        <v>68.965570402694922</v>
      </c>
      <c r="DT70" s="12">
        <f t="shared" si="31"/>
        <v>67.238217711384621</v>
      </c>
      <c r="DU70" s="12">
        <f t="shared" si="31"/>
        <v>65.771394934940005</v>
      </c>
      <c r="DV70" s="12">
        <f t="shared" si="31"/>
        <v>64.533481654415098</v>
      </c>
      <c r="DW70" s="12">
        <f t="shared" si="31"/>
        <v>63.49031564613054</v>
      </c>
      <c r="DX70" s="12">
        <f t="shared" si="31"/>
        <v>62.60558147066272</v>
      </c>
      <c r="DY70" s="12">
        <f t="shared" si="31"/>
        <v>61.841218282297184</v>
      </c>
      <c r="DZ70" s="12">
        <f t="shared" si="31"/>
        <v>61.157842915403393</v>
      </c>
      <c r="EA70" s="11">
        <f t="shared" si="31"/>
        <v>60.51518436198598</v>
      </c>
    </row>
    <row r="71" spans="5:131" x14ac:dyDescent="0.3">
      <c r="E71" s="16"/>
      <c r="F71" s="11">
        <f t="shared" si="32"/>
        <v>300</v>
      </c>
      <c r="G71" s="12">
        <f t="shared" si="32"/>
        <v>287.2045833178318</v>
      </c>
      <c r="H71" s="12">
        <f t="shared" si="32"/>
        <v>274.47945650127724</v>
      </c>
      <c r="I71" s="12">
        <f t="shared" si="32"/>
        <v>261.89403216396965</v>
      </c>
      <c r="J71" s="12">
        <f t="shared" si="32"/>
        <v>249.51598121594634</v>
      </c>
      <c r="K71" s="12">
        <f t="shared" si="32"/>
        <v>237.41039374200508</v>
      </c>
      <c r="L71" s="12">
        <f t="shared" si="32"/>
        <v>225.63897720725109</v>
      </c>
      <c r="M71" s="12">
        <f t="shared" si="32"/>
        <v>214.25930321091425</v>
      </c>
      <c r="N71" s="12">
        <f t="shared" si="32"/>
        <v>203.32411301536484</v>
      </c>
      <c r="O71" s="12">
        <f t="shared" si="32"/>
        <v>192.88069089761211</v>
      </c>
      <c r="P71" s="12">
        <f t="shared" si="32"/>
        <v>182.97031304318836</v>
      </c>
      <c r="Q71" s="12">
        <f t="shared" si="32"/>
        <v>173.627778268599</v>
      </c>
      <c r="R71" s="12">
        <f t="shared" si="32"/>
        <v>164.88102536165553</v>
      </c>
      <c r="S71" s="12">
        <f t="shared" si="32"/>
        <v>156.750840312197</v>
      </c>
      <c r="T71" s="12">
        <f t="shared" si="32"/>
        <v>149.25065521040003</v>
      </c>
      <c r="U71" s="12">
        <f t="shared" si="32"/>
        <v>142.38643915412484</v>
      </c>
      <c r="V71" s="12">
        <f t="shared" si="32"/>
        <v>136.15668016384484</v>
      </c>
      <c r="W71" s="12">
        <f t="shared" si="32"/>
        <v>130.55245588106129</v>
      </c>
      <c r="X71" s="12">
        <f t="shared" si="32"/>
        <v>125.55758974443702</v>
      </c>
      <c r="Y71" s="12">
        <f t="shared" si="32"/>
        <v>121.14888841078448</v>
      </c>
      <c r="Z71" s="12">
        <f t="shared" si="32"/>
        <v>117.29645542188669</v>
      </c>
      <c r="AA71" s="12">
        <f t="shared" si="32"/>
        <v>113.96407551228953</v>
      </c>
      <c r="AB71" s="12">
        <f t="shared" si="32"/>
        <v>111.10966350062358</v>
      </c>
      <c r="AC71" s="12">
        <f t="shared" si="32"/>
        <v>108.6857713950151</v>
      </c>
      <c r="AD71" s="12">
        <f t="shared" si="32"/>
        <v>106.64014715446081</v>
      </c>
      <c r="AE71" s="12">
        <f t="shared" si="32"/>
        <v>104.91633846200997</v>
      </c>
      <c r="AF71" s="12">
        <f t="shared" si="32"/>
        <v>103.45433485945037</v>
      </c>
      <c r="AG71" s="12">
        <f t="shared" si="35"/>
        <v>102.19124164338527</v>
      </c>
      <c r="AH71" s="12">
        <f t="shared" si="33"/>
        <v>101.06197900608416</v>
      </c>
      <c r="AI71" s="11">
        <f t="shared" si="33"/>
        <v>100</v>
      </c>
      <c r="AK71" s="18"/>
      <c r="AL71" s="11">
        <f t="shared" si="34"/>
        <v>-1076400000</v>
      </c>
      <c r="AM71" s="12">
        <f t="shared" si="26"/>
        <v>-1030490044.9443803</v>
      </c>
      <c r="AN71" s="12">
        <f t="shared" si="26"/>
        <v>-984832289.92658269</v>
      </c>
      <c r="AO71" s="12">
        <f t="shared" si="26"/>
        <v>-939675787.40432286</v>
      </c>
      <c r="AP71" s="12">
        <f t="shared" si="26"/>
        <v>-895263340.60281551</v>
      </c>
      <c r="AQ71" s="12">
        <f t="shared" si="26"/>
        <v>-851828492.74631417</v>
      </c>
      <c r="AR71" s="12">
        <f t="shared" si="26"/>
        <v>-809592650.21961689</v>
      </c>
      <c r="AS71" s="12">
        <f t="shared" si="26"/>
        <v>-768762379.92076039</v>
      </c>
      <c r="AT71" s="12">
        <f t="shared" si="26"/>
        <v>-729526917.49912906</v>
      </c>
      <c r="AU71" s="12">
        <f t="shared" si="26"/>
        <v>-692055918.94063234</v>
      </c>
      <c r="AV71" s="12">
        <f t="shared" si="26"/>
        <v>-656497483.19895983</v>
      </c>
      <c r="AW71" s="12">
        <f t="shared" si="26"/>
        <v>-622976468.4277333</v>
      </c>
      <c r="AX71" s="12">
        <f t="shared" si="26"/>
        <v>-591593118.99762011</v>
      </c>
      <c r="AY71" s="12">
        <f t="shared" si="26"/>
        <v>-562422015.0401628</v>
      </c>
      <c r="AZ71" s="12">
        <f t="shared" si="26"/>
        <v>-535511350.89491528</v>
      </c>
      <c r="BA71" s="12">
        <f t="shared" si="26"/>
        <v>-510882543.68499994</v>
      </c>
      <c r="BB71" s="12">
        <f t="shared" si="26"/>
        <v>-488530168.42787528</v>
      </c>
      <c r="BC71" s="12">
        <f t="shared" si="27"/>
        <v>-468422211.70124793</v>
      </c>
      <c r="BD71" s="12">
        <f t="shared" si="27"/>
        <v>-450500632.00304002</v>
      </c>
      <c r="BE71" s="12">
        <f t="shared" si="27"/>
        <v>-434682211.61789471</v>
      </c>
      <c r="BF71" s="12">
        <f t="shared" si="27"/>
        <v>-420859682.05372947</v>
      </c>
      <c r="BG71" s="12">
        <f t="shared" si="27"/>
        <v>-408903102.93809479</v>
      </c>
      <c r="BH71" s="12">
        <f t="shared" si="27"/>
        <v>-398661472.64023739</v>
      </c>
      <c r="BI71" s="12">
        <f t="shared" si="27"/>
        <v>-389964547.76531416</v>
      </c>
      <c r="BJ71" s="12">
        <f t="shared" si="27"/>
        <v>-382624847.99020535</v>
      </c>
      <c r="BK71" s="12">
        <f t="shared" si="27"/>
        <v>-376439822.40169173</v>
      </c>
      <c r="BL71" s="12">
        <f t="shared" si="27"/>
        <v>-371194153.47570795</v>
      </c>
      <c r="BM71" s="12">
        <f t="shared" si="27"/>
        <v>-366662175.01646638</v>
      </c>
      <c r="BN71" s="12">
        <f t="shared" si="27"/>
        <v>-362610380.67382997</v>
      </c>
      <c r="BO71" s="11">
        <f t="shared" si="27"/>
        <v>-358800000</v>
      </c>
      <c r="BQ71" s="16"/>
      <c r="BR71" s="11">
        <f t="shared" si="28"/>
        <v>0.39484815638014015</v>
      </c>
      <c r="BS71" s="12">
        <f t="shared" si="28"/>
        <v>0.39484815638014015</v>
      </c>
      <c r="BT71" s="12">
        <f t="shared" si="28"/>
        <v>0.39484815638014015</v>
      </c>
      <c r="BU71" s="12">
        <f t="shared" si="28"/>
        <v>0.39484815638014015</v>
      </c>
      <c r="BV71" s="12">
        <f t="shared" si="28"/>
        <v>0.39484815638014015</v>
      </c>
      <c r="BW71" s="12">
        <f t="shared" si="28"/>
        <v>0.39484815638014015</v>
      </c>
      <c r="BX71" s="12">
        <f t="shared" si="28"/>
        <v>0.39484815638014015</v>
      </c>
      <c r="BY71" s="12">
        <f t="shared" si="28"/>
        <v>0.39484815638014015</v>
      </c>
      <c r="BZ71" s="12">
        <f t="shared" si="28"/>
        <v>0.39484815638014015</v>
      </c>
      <c r="CA71" s="12">
        <f t="shared" si="28"/>
        <v>0.39484815638014015</v>
      </c>
      <c r="CB71" s="12">
        <f t="shared" si="28"/>
        <v>0.39484815638014015</v>
      </c>
      <c r="CC71" s="12">
        <f t="shared" si="28"/>
        <v>0.39484815638014015</v>
      </c>
      <c r="CD71" s="12">
        <f t="shared" si="28"/>
        <v>0.39484815638014015</v>
      </c>
      <c r="CE71" s="12">
        <f t="shared" si="28"/>
        <v>0.39484815638014015</v>
      </c>
      <c r="CF71" s="12">
        <f t="shared" si="28"/>
        <v>0.39484815638014015</v>
      </c>
      <c r="CG71" s="12">
        <f t="shared" si="28"/>
        <v>0.39484815638014015</v>
      </c>
      <c r="CH71" s="12">
        <f t="shared" si="29"/>
        <v>0.39484815638014015</v>
      </c>
      <c r="CI71" s="12">
        <f t="shared" si="29"/>
        <v>0.39484815638014015</v>
      </c>
      <c r="CJ71" s="12">
        <f t="shared" si="29"/>
        <v>0.39484815638014015</v>
      </c>
      <c r="CK71" s="12">
        <f t="shared" si="29"/>
        <v>0.39484815638014015</v>
      </c>
      <c r="CL71" s="12">
        <f t="shared" si="29"/>
        <v>0.39484815638014015</v>
      </c>
      <c r="CM71" s="12">
        <f t="shared" si="29"/>
        <v>0.39484815638014015</v>
      </c>
      <c r="CN71" s="12">
        <f t="shared" si="29"/>
        <v>0.39484815638014015</v>
      </c>
      <c r="CO71" s="12">
        <f t="shared" si="29"/>
        <v>0.39484815638014015</v>
      </c>
      <c r="CP71" s="12">
        <f t="shared" si="29"/>
        <v>0.39484815638014015</v>
      </c>
      <c r="CQ71" s="12">
        <f t="shared" si="29"/>
        <v>0.39484815638014015</v>
      </c>
      <c r="CR71" s="12">
        <f t="shared" si="29"/>
        <v>0.39484815638014015</v>
      </c>
      <c r="CS71" s="12">
        <f t="shared" si="29"/>
        <v>0.39484815638014015</v>
      </c>
      <c r="CT71" s="12">
        <f t="shared" si="29"/>
        <v>0.39484815638014015</v>
      </c>
      <c r="CU71" s="11">
        <f t="shared" si="29"/>
        <v>0.39484815638014015</v>
      </c>
      <c r="CW71" s="16"/>
      <c r="CX71" s="11">
        <f t="shared" si="30"/>
        <v>181.54555308595795</v>
      </c>
      <c r="CY71" s="12">
        <f t="shared" si="30"/>
        <v>173.80238309085956</v>
      </c>
      <c r="CZ71" s="12">
        <f t="shared" si="30"/>
        <v>166.10174913752508</v>
      </c>
      <c r="DA71" s="12">
        <f t="shared" si="30"/>
        <v>158.4856563970651</v>
      </c>
      <c r="DB71" s="12">
        <f t="shared" si="30"/>
        <v>150.99505604544825</v>
      </c>
      <c r="DC71" s="12">
        <f t="shared" si="30"/>
        <v>143.66933746749123</v>
      </c>
      <c r="DD71" s="12">
        <f t="shared" si="30"/>
        <v>136.54584304946755</v>
      </c>
      <c r="DE71" s="12">
        <f t="shared" si="30"/>
        <v>129.65941235079134</v>
      </c>
      <c r="DF71" s="12">
        <f t="shared" si="30"/>
        <v>123.04196184362078</v>
      </c>
      <c r="DG71" s="12">
        <f t="shared" si="30"/>
        <v>116.72210569536232</v>
      </c>
      <c r="DH71" s="12">
        <f t="shared" si="30"/>
        <v>110.72482226578833</v>
      </c>
      <c r="DI71" s="12">
        <f t="shared" si="30"/>
        <v>105.07117012286295</v>
      </c>
      <c r="DJ71" s="12">
        <f t="shared" si="30"/>
        <v>99.778056475538733</v>
      </c>
      <c r="DK71" s="12">
        <f t="shared" si="30"/>
        <v>94.858060003888284</v>
      </c>
      <c r="DL71" s="12">
        <f t="shared" si="30"/>
        <v>90.319309162045627</v>
      </c>
      <c r="DM71" s="12">
        <f t="shared" si="30"/>
        <v>86.165416160585664</v>
      </c>
      <c r="DN71" s="12">
        <f t="shared" si="31"/>
        <v>82.39546602231033</v>
      </c>
      <c r="DO71" s="12">
        <f t="shared" si="31"/>
        <v>79.004059365524682</v>
      </c>
      <c r="DP71" s="12">
        <f t="shared" si="31"/>
        <v>75.981406914312089</v>
      </c>
      <c r="DQ71" s="12">
        <f t="shared" si="31"/>
        <v>73.313473174282919</v>
      </c>
      <c r="DR71" s="12">
        <f t="shared" si="31"/>
        <v>70.982166248629454</v>
      </c>
      <c r="DS71" s="12">
        <f t="shared" si="31"/>
        <v>68.965570402694937</v>
      </c>
      <c r="DT71" s="12">
        <f t="shared" si="31"/>
        <v>67.238217711384621</v>
      </c>
      <c r="DU71" s="12">
        <f t="shared" si="31"/>
        <v>65.77139493494002</v>
      </c>
      <c r="DV71" s="12">
        <f t="shared" si="31"/>
        <v>64.533481654415112</v>
      </c>
      <c r="DW71" s="12">
        <f t="shared" si="31"/>
        <v>63.490315646130554</v>
      </c>
      <c r="DX71" s="12">
        <f t="shared" si="31"/>
        <v>62.605581470662734</v>
      </c>
      <c r="DY71" s="12">
        <f t="shared" si="31"/>
        <v>61.841218282297199</v>
      </c>
      <c r="DZ71" s="12">
        <f t="shared" si="31"/>
        <v>61.157842915403407</v>
      </c>
      <c r="EA71" s="11">
        <f t="shared" si="31"/>
        <v>60.51518436198598</v>
      </c>
    </row>
    <row r="72" spans="5:131" x14ac:dyDescent="0.3">
      <c r="E72" s="16"/>
      <c r="F72" s="11">
        <f t="shared" si="32"/>
        <v>300</v>
      </c>
      <c r="G72" s="12">
        <f t="shared" si="32"/>
        <v>287.20458331783186</v>
      </c>
      <c r="H72" s="12">
        <f t="shared" si="32"/>
        <v>274.47945650127735</v>
      </c>
      <c r="I72" s="12">
        <f t="shared" si="32"/>
        <v>261.89403216396965</v>
      </c>
      <c r="J72" s="12">
        <f t="shared" si="32"/>
        <v>249.5159812159464</v>
      </c>
      <c r="K72" s="12">
        <f t="shared" si="32"/>
        <v>237.41039374200511</v>
      </c>
      <c r="L72" s="12">
        <f t="shared" si="32"/>
        <v>225.63897720725117</v>
      </c>
      <c r="M72" s="12">
        <f t="shared" si="32"/>
        <v>214.25930321091431</v>
      </c>
      <c r="N72" s="12">
        <f t="shared" si="32"/>
        <v>203.3241130153649</v>
      </c>
      <c r="O72" s="12">
        <f t="shared" si="32"/>
        <v>192.88069089761217</v>
      </c>
      <c r="P72" s="12">
        <f t="shared" si="32"/>
        <v>182.97031304318841</v>
      </c>
      <c r="Q72" s="12">
        <f t="shared" si="32"/>
        <v>173.62777826859906</v>
      </c>
      <c r="R72" s="12">
        <f t="shared" si="32"/>
        <v>164.88102536165559</v>
      </c>
      <c r="S72" s="12">
        <f t="shared" si="32"/>
        <v>156.75084031219706</v>
      </c>
      <c r="T72" s="12">
        <f t="shared" si="32"/>
        <v>149.25065521040005</v>
      </c>
      <c r="U72" s="12">
        <f t="shared" si="32"/>
        <v>142.3864391541249</v>
      </c>
      <c r="V72" s="12">
        <f t="shared" si="32"/>
        <v>136.1566801638449</v>
      </c>
      <c r="W72" s="12">
        <f t="shared" si="32"/>
        <v>130.55245588106135</v>
      </c>
      <c r="X72" s="12">
        <f t="shared" si="32"/>
        <v>125.55758974443708</v>
      </c>
      <c r="Y72" s="12">
        <f t="shared" si="32"/>
        <v>121.14888841078454</v>
      </c>
      <c r="Z72" s="12">
        <f t="shared" si="32"/>
        <v>117.29645542188672</v>
      </c>
      <c r="AA72" s="12">
        <f t="shared" si="32"/>
        <v>113.96407551228955</v>
      </c>
      <c r="AB72" s="12">
        <f t="shared" si="32"/>
        <v>111.10966350062361</v>
      </c>
      <c r="AC72" s="12">
        <f t="shared" si="32"/>
        <v>108.68577139501514</v>
      </c>
      <c r="AD72" s="12">
        <f t="shared" si="32"/>
        <v>106.64014715446083</v>
      </c>
      <c r="AE72" s="12">
        <f t="shared" si="32"/>
        <v>104.91633846201</v>
      </c>
      <c r="AF72" s="12">
        <f t="shared" si="32"/>
        <v>103.4543348594504</v>
      </c>
      <c r="AG72" s="12">
        <f t="shared" si="35"/>
        <v>102.1912416433853</v>
      </c>
      <c r="AH72" s="12">
        <f t="shared" si="33"/>
        <v>101.06197900608416</v>
      </c>
      <c r="AI72" s="11">
        <f t="shared" si="33"/>
        <v>100</v>
      </c>
      <c r="AK72" s="18"/>
      <c r="AL72" s="11">
        <f t="shared" si="34"/>
        <v>-1076400000</v>
      </c>
      <c r="AM72" s="12">
        <f t="shared" si="26"/>
        <v>-1030490044.9443808</v>
      </c>
      <c r="AN72" s="12">
        <f t="shared" si="26"/>
        <v>-984832289.92658317</v>
      </c>
      <c r="AO72" s="12">
        <f t="shared" si="26"/>
        <v>-939675787.4043231</v>
      </c>
      <c r="AP72" s="12">
        <f t="shared" si="26"/>
        <v>-895263340.60281563</v>
      </c>
      <c r="AQ72" s="12">
        <f t="shared" si="26"/>
        <v>-851828492.74631429</v>
      </c>
      <c r="AR72" s="12">
        <f t="shared" si="26"/>
        <v>-809592650.21961725</v>
      </c>
      <c r="AS72" s="12">
        <f t="shared" si="26"/>
        <v>-768762379.92076039</v>
      </c>
      <c r="AT72" s="12">
        <f t="shared" si="26"/>
        <v>-729526917.4991293</v>
      </c>
      <c r="AU72" s="12">
        <f t="shared" si="26"/>
        <v>-692055918.94063258</v>
      </c>
      <c r="AV72" s="12">
        <f t="shared" si="26"/>
        <v>-656497483.19895995</v>
      </c>
      <c r="AW72" s="12">
        <f t="shared" si="26"/>
        <v>-622976468.42773342</v>
      </c>
      <c r="AX72" s="12">
        <f t="shared" si="26"/>
        <v>-591593118.99762034</v>
      </c>
      <c r="AY72" s="12">
        <f t="shared" si="26"/>
        <v>-562422015.04016304</v>
      </c>
      <c r="AZ72" s="12">
        <f t="shared" si="26"/>
        <v>-535511350.8949154</v>
      </c>
      <c r="BA72" s="12">
        <f t="shared" si="26"/>
        <v>-510882543.68500012</v>
      </c>
      <c r="BB72" s="12">
        <f t="shared" si="26"/>
        <v>-488530168.42787546</v>
      </c>
      <c r="BC72" s="12">
        <f t="shared" si="27"/>
        <v>-468422211.70124811</v>
      </c>
      <c r="BD72" s="12">
        <f t="shared" si="27"/>
        <v>-450500632.00304025</v>
      </c>
      <c r="BE72" s="12">
        <f t="shared" si="27"/>
        <v>-434682211.61789483</v>
      </c>
      <c r="BF72" s="12">
        <f t="shared" si="27"/>
        <v>-420859682.05372953</v>
      </c>
      <c r="BG72" s="12">
        <f t="shared" si="27"/>
        <v>-408903102.93809491</v>
      </c>
      <c r="BH72" s="12">
        <f t="shared" si="27"/>
        <v>-398661472.64023751</v>
      </c>
      <c r="BI72" s="12">
        <f t="shared" si="27"/>
        <v>-389964547.76531428</v>
      </c>
      <c r="BJ72" s="12">
        <f t="shared" si="27"/>
        <v>-382624847.99020547</v>
      </c>
      <c r="BK72" s="12">
        <f t="shared" si="27"/>
        <v>-376439822.40169191</v>
      </c>
      <c r="BL72" s="12">
        <f t="shared" si="27"/>
        <v>-371194153.47570795</v>
      </c>
      <c r="BM72" s="12">
        <f t="shared" si="27"/>
        <v>-366662175.01646638</v>
      </c>
      <c r="BN72" s="12">
        <f t="shared" si="27"/>
        <v>-362610380.67382997</v>
      </c>
      <c r="BO72" s="11">
        <f t="shared" si="27"/>
        <v>-358800000</v>
      </c>
      <c r="BQ72" s="16"/>
      <c r="BR72" s="11">
        <f t="shared" si="28"/>
        <v>0.39484815638014015</v>
      </c>
      <c r="BS72" s="12">
        <f t="shared" si="28"/>
        <v>0.39484815638014015</v>
      </c>
      <c r="BT72" s="12">
        <f t="shared" si="28"/>
        <v>0.39484815638014015</v>
      </c>
      <c r="BU72" s="12">
        <f t="shared" si="28"/>
        <v>0.39484815638014015</v>
      </c>
      <c r="BV72" s="12">
        <f t="shared" si="28"/>
        <v>0.39484815638014015</v>
      </c>
      <c r="BW72" s="12">
        <f t="shared" si="28"/>
        <v>0.39484815638014015</v>
      </c>
      <c r="BX72" s="12">
        <f t="shared" si="28"/>
        <v>0.39484815638014015</v>
      </c>
      <c r="BY72" s="12">
        <f t="shared" si="28"/>
        <v>0.39484815638014015</v>
      </c>
      <c r="BZ72" s="12">
        <f t="shared" si="28"/>
        <v>0.39484815638014015</v>
      </c>
      <c r="CA72" s="12">
        <f t="shared" si="28"/>
        <v>0.39484815638014015</v>
      </c>
      <c r="CB72" s="12">
        <f t="shared" si="28"/>
        <v>0.39484815638014015</v>
      </c>
      <c r="CC72" s="12">
        <f t="shared" si="28"/>
        <v>0.39484815638014015</v>
      </c>
      <c r="CD72" s="12">
        <f t="shared" si="28"/>
        <v>0.39484815638014015</v>
      </c>
      <c r="CE72" s="12">
        <f t="shared" si="28"/>
        <v>0.39484815638014015</v>
      </c>
      <c r="CF72" s="12">
        <f t="shared" si="28"/>
        <v>0.39484815638014015</v>
      </c>
      <c r="CG72" s="12">
        <f t="shared" si="28"/>
        <v>0.39484815638014015</v>
      </c>
      <c r="CH72" s="12">
        <f t="shared" si="29"/>
        <v>0.39484815638014015</v>
      </c>
      <c r="CI72" s="12">
        <f t="shared" si="29"/>
        <v>0.39484815638014015</v>
      </c>
      <c r="CJ72" s="12">
        <f t="shared" si="29"/>
        <v>0.39484815638014015</v>
      </c>
      <c r="CK72" s="12">
        <f t="shared" si="29"/>
        <v>0.39484815638014015</v>
      </c>
      <c r="CL72" s="12">
        <f t="shared" si="29"/>
        <v>0.39484815638014015</v>
      </c>
      <c r="CM72" s="12">
        <f t="shared" si="29"/>
        <v>0.39484815638014015</v>
      </c>
      <c r="CN72" s="12">
        <f t="shared" si="29"/>
        <v>0.39484815638014015</v>
      </c>
      <c r="CO72" s="12">
        <f t="shared" si="29"/>
        <v>0.39484815638014015</v>
      </c>
      <c r="CP72" s="12">
        <f t="shared" si="29"/>
        <v>0.39484815638014015</v>
      </c>
      <c r="CQ72" s="12">
        <f t="shared" si="29"/>
        <v>0.39484815638014015</v>
      </c>
      <c r="CR72" s="12">
        <f t="shared" si="29"/>
        <v>0.39484815638014015</v>
      </c>
      <c r="CS72" s="12">
        <f t="shared" si="29"/>
        <v>0.39484815638014015</v>
      </c>
      <c r="CT72" s="12">
        <f t="shared" si="29"/>
        <v>0.39484815638014015</v>
      </c>
      <c r="CU72" s="11">
        <f t="shared" si="29"/>
        <v>0.39484815638014015</v>
      </c>
      <c r="CW72" s="16"/>
      <c r="CX72" s="11">
        <f t="shared" si="30"/>
        <v>181.54555308595795</v>
      </c>
      <c r="CY72" s="12">
        <f t="shared" si="30"/>
        <v>173.80238309085959</v>
      </c>
      <c r="CZ72" s="12">
        <f t="shared" si="30"/>
        <v>166.10174913752513</v>
      </c>
      <c r="DA72" s="12">
        <f t="shared" si="30"/>
        <v>158.48565639706513</v>
      </c>
      <c r="DB72" s="12">
        <f t="shared" si="30"/>
        <v>150.99505604544831</v>
      </c>
      <c r="DC72" s="12">
        <f t="shared" si="30"/>
        <v>143.66933746749126</v>
      </c>
      <c r="DD72" s="12">
        <f t="shared" si="30"/>
        <v>136.54584304946761</v>
      </c>
      <c r="DE72" s="12">
        <f t="shared" si="30"/>
        <v>129.65941235079137</v>
      </c>
      <c r="DF72" s="12">
        <f t="shared" si="30"/>
        <v>123.04196184362083</v>
      </c>
      <c r="DG72" s="12">
        <f t="shared" si="30"/>
        <v>116.72210569536236</v>
      </c>
      <c r="DH72" s="12">
        <f t="shared" si="30"/>
        <v>110.72482226578836</v>
      </c>
      <c r="DI72" s="12">
        <f t="shared" si="30"/>
        <v>105.07117012286298</v>
      </c>
      <c r="DJ72" s="12">
        <f t="shared" si="30"/>
        <v>99.778056475538776</v>
      </c>
      <c r="DK72" s="12">
        <f t="shared" si="30"/>
        <v>94.858060003888326</v>
      </c>
      <c r="DL72" s="12">
        <f t="shared" si="30"/>
        <v>90.319309162045656</v>
      </c>
      <c r="DM72" s="12">
        <f t="shared" si="30"/>
        <v>86.165416160585707</v>
      </c>
      <c r="DN72" s="12">
        <f t="shared" si="31"/>
        <v>82.395466022310373</v>
      </c>
      <c r="DO72" s="12">
        <f t="shared" si="31"/>
        <v>79.004059365524697</v>
      </c>
      <c r="DP72" s="12">
        <f t="shared" si="31"/>
        <v>75.981406914312132</v>
      </c>
      <c r="DQ72" s="12">
        <f t="shared" si="31"/>
        <v>73.313473174282947</v>
      </c>
      <c r="DR72" s="12">
        <f t="shared" si="31"/>
        <v>70.982166248629468</v>
      </c>
      <c r="DS72" s="12">
        <f t="shared" si="31"/>
        <v>68.965570402694965</v>
      </c>
      <c r="DT72" s="12">
        <f t="shared" si="31"/>
        <v>67.238217711384635</v>
      </c>
      <c r="DU72" s="12">
        <f t="shared" si="31"/>
        <v>65.771394934940048</v>
      </c>
      <c r="DV72" s="12">
        <f t="shared" si="31"/>
        <v>64.533481654415141</v>
      </c>
      <c r="DW72" s="12">
        <f t="shared" si="31"/>
        <v>63.490315646130576</v>
      </c>
      <c r="DX72" s="12">
        <f t="shared" si="31"/>
        <v>62.605581470662749</v>
      </c>
      <c r="DY72" s="12">
        <f t="shared" si="31"/>
        <v>61.841218282297213</v>
      </c>
      <c r="DZ72" s="12">
        <f t="shared" si="31"/>
        <v>61.157842915403407</v>
      </c>
      <c r="EA72" s="11">
        <f t="shared" si="31"/>
        <v>60.51518436198598</v>
      </c>
    </row>
    <row r="73" spans="5:131" x14ac:dyDescent="0.3">
      <c r="E73" s="16"/>
      <c r="F73" s="11">
        <f t="shared" si="32"/>
        <v>300</v>
      </c>
      <c r="G73" s="12">
        <f t="shared" si="32"/>
        <v>287.20458331783192</v>
      </c>
      <c r="H73" s="12">
        <f t="shared" si="32"/>
        <v>274.47945650127741</v>
      </c>
      <c r="I73" s="12">
        <f t="shared" si="32"/>
        <v>261.89403216396977</v>
      </c>
      <c r="J73" s="12">
        <f t="shared" si="32"/>
        <v>249.51598121594651</v>
      </c>
      <c r="K73" s="12">
        <f t="shared" si="32"/>
        <v>237.41039374200523</v>
      </c>
      <c r="L73" s="12">
        <f t="shared" si="32"/>
        <v>225.63897720725123</v>
      </c>
      <c r="M73" s="12">
        <f t="shared" si="32"/>
        <v>214.2593032109144</v>
      </c>
      <c r="N73" s="12">
        <f t="shared" si="32"/>
        <v>203.32411301536499</v>
      </c>
      <c r="O73" s="12">
        <f t="shared" si="32"/>
        <v>192.88069089761225</v>
      </c>
      <c r="P73" s="12">
        <f t="shared" si="32"/>
        <v>182.97031304318847</v>
      </c>
      <c r="Q73" s="12">
        <f t="shared" si="32"/>
        <v>173.62777826859914</v>
      </c>
      <c r="R73" s="12">
        <f t="shared" si="32"/>
        <v>164.88102536165567</v>
      </c>
      <c r="S73" s="12">
        <f t="shared" si="32"/>
        <v>156.75084031219714</v>
      </c>
      <c r="T73" s="12">
        <f t="shared" si="32"/>
        <v>149.25065521040014</v>
      </c>
      <c r="U73" s="12">
        <f t="shared" si="32"/>
        <v>142.38643915412499</v>
      </c>
      <c r="V73" s="12">
        <f t="shared" si="32"/>
        <v>136.15668016384495</v>
      </c>
      <c r="W73" s="12">
        <f t="shared" si="32"/>
        <v>130.55245588106141</v>
      </c>
      <c r="X73" s="12">
        <f t="shared" si="32"/>
        <v>125.55758974443715</v>
      </c>
      <c r="Y73" s="12">
        <f t="shared" si="32"/>
        <v>121.14888841078459</v>
      </c>
      <c r="Z73" s="12">
        <f t="shared" si="32"/>
        <v>117.29645542188678</v>
      </c>
      <c r="AA73" s="12">
        <f t="shared" si="32"/>
        <v>113.96407551228961</v>
      </c>
      <c r="AB73" s="12">
        <f t="shared" si="32"/>
        <v>111.10966350062367</v>
      </c>
      <c r="AC73" s="12">
        <f t="shared" si="32"/>
        <v>108.68577139501518</v>
      </c>
      <c r="AD73" s="12">
        <f t="shared" si="32"/>
        <v>106.64014715446089</v>
      </c>
      <c r="AE73" s="12">
        <f t="shared" si="32"/>
        <v>104.91633846201003</v>
      </c>
      <c r="AF73" s="12">
        <f t="shared" si="32"/>
        <v>103.45433485945043</v>
      </c>
      <c r="AG73" s="12">
        <f t="shared" si="35"/>
        <v>102.19124164338533</v>
      </c>
      <c r="AH73" s="12">
        <f t="shared" si="33"/>
        <v>101.06197900608419</v>
      </c>
      <c r="AI73" s="11">
        <f t="shared" si="33"/>
        <v>100</v>
      </c>
      <c r="AK73" s="18"/>
      <c r="AL73" s="11">
        <f t="shared" si="34"/>
        <v>-1076400000</v>
      </c>
      <c r="AM73" s="12">
        <f t="shared" si="26"/>
        <v>-1030490044.9443808</v>
      </c>
      <c r="AN73" s="12">
        <f t="shared" si="26"/>
        <v>-984832289.92658341</v>
      </c>
      <c r="AO73" s="12">
        <f t="shared" si="26"/>
        <v>-939675787.40432334</v>
      </c>
      <c r="AP73" s="12">
        <f t="shared" si="26"/>
        <v>-895263340.60281599</v>
      </c>
      <c r="AQ73" s="12">
        <f t="shared" si="26"/>
        <v>-851828492.74631464</v>
      </c>
      <c r="AR73" s="12">
        <f t="shared" si="26"/>
        <v>-809592650.21961737</v>
      </c>
      <c r="AS73" s="12">
        <f t="shared" si="26"/>
        <v>-768762379.92076075</v>
      </c>
      <c r="AT73" s="12">
        <f t="shared" si="26"/>
        <v>-729526917.49912953</v>
      </c>
      <c r="AU73" s="12">
        <f t="shared" si="26"/>
        <v>-692055918.94063282</v>
      </c>
      <c r="AV73" s="12">
        <f t="shared" si="26"/>
        <v>-656497483.19896019</v>
      </c>
      <c r="AW73" s="12">
        <f t="shared" si="26"/>
        <v>-622976468.42773378</v>
      </c>
      <c r="AX73" s="12">
        <f t="shared" si="26"/>
        <v>-591593118.99762058</v>
      </c>
      <c r="AY73" s="12">
        <f t="shared" si="26"/>
        <v>-562422015.04016328</v>
      </c>
      <c r="AZ73" s="12">
        <f t="shared" si="26"/>
        <v>-535511350.8949157</v>
      </c>
      <c r="BA73" s="12">
        <f t="shared" si="26"/>
        <v>-510882543.68500036</v>
      </c>
      <c r="BB73" s="12">
        <f t="shared" si="26"/>
        <v>-488530168.4278757</v>
      </c>
      <c r="BC73" s="12">
        <f t="shared" si="27"/>
        <v>-468422211.70124835</v>
      </c>
      <c r="BD73" s="12">
        <f t="shared" si="27"/>
        <v>-450500632.00304049</v>
      </c>
      <c r="BE73" s="12">
        <f t="shared" si="27"/>
        <v>-434682211.61789513</v>
      </c>
      <c r="BF73" s="12">
        <f t="shared" si="27"/>
        <v>-420859682.05372983</v>
      </c>
      <c r="BG73" s="12">
        <f t="shared" si="27"/>
        <v>-408903102.93809515</v>
      </c>
      <c r="BH73" s="12">
        <f t="shared" si="27"/>
        <v>-398661472.64023775</v>
      </c>
      <c r="BI73" s="12">
        <f t="shared" si="27"/>
        <v>-389964547.7653144</v>
      </c>
      <c r="BJ73" s="12">
        <f t="shared" si="27"/>
        <v>-382624847.99020565</v>
      </c>
      <c r="BK73" s="12">
        <f t="shared" si="27"/>
        <v>-376439822.40169197</v>
      </c>
      <c r="BL73" s="12">
        <f t="shared" si="27"/>
        <v>-371194153.47570813</v>
      </c>
      <c r="BM73" s="12">
        <f t="shared" si="27"/>
        <v>-366662175.01646656</v>
      </c>
      <c r="BN73" s="12">
        <f t="shared" si="27"/>
        <v>-362610380.67383003</v>
      </c>
      <c r="BO73" s="11">
        <f t="shared" si="27"/>
        <v>-358800000</v>
      </c>
      <c r="BQ73" s="16"/>
      <c r="BR73" s="11">
        <f t="shared" si="28"/>
        <v>0.3948481563801402</v>
      </c>
      <c r="BS73" s="12">
        <f t="shared" si="28"/>
        <v>0.3948481563801402</v>
      </c>
      <c r="BT73" s="12">
        <f t="shared" si="28"/>
        <v>0.3948481563801402</v>
      </c>
      <c r="BU73" s="12">
        <f t="shared" si="28"/>
        <v>0.3948481563801402</v>
      </c>
      <c r="BV73" s="12">
        <f t="shared" si="28"/>
        <v>0.3948481563801402</v>
      </c>
      <c r="BW73" s="12">
        <f t="shared" si="28"/>
        <v>0.3948481563801402</v>
      </c>
      <c r="BX73" s="12">
        <f t="shared" si="28"/>
        <v>0.3948481563801402</v>
      </c>
      <c r="BY73" s="12">
        <f t="shared" si="28"/>
        <v>0.3948481563801402</v>
      </c>
      <c r="BZ73" s="12">
        <f t="shared" si="28"/>
        <v>0.3948481563801402</v>
      </c>
      <c r="CA73" s="12">
        <f t="shared" si="28"/>
        <v>0.3948481563801402</v>
      </c>
      <c r="CB73" s="12">
        <f t="shared" si="28"/>
        <v>0.3948481563801402</v>
      </c>
      <c r="CC73" s="12">
        <f t="shared" si="28"/>
        <v>0.3948481563801402</v>
      </c>
      <c r="CD73" s="12">
        <f t="shared" si="28"/>
        <v>0.3948481563801402</v>
      </c>
      <c r="CE73" s="12">
        <f t="shared" si="28"/>
        <v>0.3948481563801402</v>
      </c>
      <c r="CF73" s="12">
        <f t="shared" si="28"/>
        <v>0.3948481563801402</v>
      </c>
      <c r="CG73" s="12">
        <f t="shared" si="28"/>
        <v>0.3948481563801402</v>
      </c>
      <c r="CH73" s="12">
        <f t="shared" si="29"/>
        <v>0.3948481563801402</v>
      </c>
      <c r="CI73" s="12">
        <f t="shared" si="29"/>
        <v>0.3948481563801402</v>
      </c>
      <c r="CJ73" s="12">
        <f t="shared" si="29"/>
        <v>0.3948481563801402</v>
      </c>
      <c r="CK73" s="12">
        <f t="shared" si="29"/>
        <v>0.3948481563801402</v>
      </c>
      <c r="CL73" s="12">
        <f t="shared" si="29"/>
        <v>0.3948481563801402</v>
      </c>
      <c r="CM73" s="12">
        <f t="shared" si="29"/>
        <v>0.3948481563801402</v>
      </c>
      <c r="CN73" s="12">
        <f t="shared" si="29"/>
        <v>0.3948481563801402</v>
      </c>
      <c r="CO73" s="12">
        <f t="shared" si="29"/>
        <v>0.3948481563801402</v>
      </c>
      <c r="CP73" s="12">
        <f t="shared" si="29"/>
        <v>0.3948481563801402</v>
      </c>
      <c r="CQ73" s="12">
        <f t="shared" si="29"/>
        <v>0.3948481563801402</v>
      </c>
      <c r="CR73" s="12">
        <f t="shared" si="29"/>
        <v>0.3948481563801402</v>
      </c>
      <c r="CS73" s="12">
        <f t="shared" si="29"/>
        <v>0.3948481563801402</v>
      </c>
      <c r="CT73" s="12">
        <f t="shared" si="29"/>
        <v>0.3948481563801402</v>
      </c>
      <c r="CU73" s="11">
        <f t="shared" si="29"/>
        <v>0.3948481563801402</v>
      </c>
      <c r="CW73" s="16"/>
      <c r="CX73" s="11">
        <f t="shared" si="30"/>
        <v>181.54555308595795</v>
      </c>
      <c r="CY73" s="12">
        <f t="shared" si="30"/>
        <v>173.80238309085962</v>
      </c>
      <c r="CZ73" s="12">
        <f t="shared" si="30"/>
        <v>166.10174913752516</v>
      </c>
      <c r="DA73" s="12">
        <f t="shared" si="30"/>
        <v>158.48565639706518</v>
      </c>
      <c r="DB73" s="12">
        <f t="shared" si="30"/>
        <v>150.99505604544837</v>
      </c>
      <c r="DC73" s="12">
        <f t="shared" si="30"/>
        <v>143.66933746749132</v>
      </c>
      <c r="DD73" s="12">
        <f t="shared" si="30"/>
        <v>136.54584304946763</v>
      </c>
      <c r="DE73" s="12">
        <f t="shared" si="30"/>
        <v>129.65941235079143</v>
      </c>
      <c r="DF73" s="12">
        <f t="shared" si="30"/>
        <v>123.04196184362088</v>
      </c>
      <c r="DG73" s="12">
        <f t="shared" si="30"/>
        <v>116.7221056953624</v>
      </c>
      <c r="DH73" s="12">
        <f t="shared" si="30"/>
        <v>110.7248222657884</v>
      </c>
      <c r="DI73" s="12">
        <f t="shared" si="30"/>
        <v>105.07117012286304</v>
      </c>
      <c r="DJ73" s="12">
        <f t="shared" si="30"/>
        <v>99.778056475538818</v>
      </c>
      <c r="DK73" s="12">
        <f t="shared" si="30"/>
        <v>94.858060003888369</v>
      </c>
      <c r="DL73" s="12">
        <f t="shared" si="30"/>
        <v>90.319309162045712</v>
      </c>
      <c r="DM73" s="12">
        <f t="shared" si="30"/>
        <v>86.16541616058575</v>
      </c>
      <c r="DN73" s="12">
        <f t="shared" si="31"/>
        <v>82.395466022310401</v>
      </c>
      <c r="DO73" s="12">
        <f t="shared" si="31"/>
        <v>79.004059365524753</v>
      </c>
      <c r="DP73" s="12">
        <f t="shared" si="31"/>
        <v>75.981406914312174</v>
      </c>
      <c r="DQ73" s="12">
        <f t="shared" si="31"/>
        <v>73.313473174282976</v>
      </c>
      <c r="DR73" s="12">
        <f t="shared" si="31"/>
        <v>70.982166248629511</v>
      </c>
      <c r="DS73" s="12">
        <f t="shared" si="31"/>
        <v>68.965570402695008</v>
      </c>
      <c r="DT73" s="12">
        <f t="shared" si="31"/>
        <v>67.238217711384678</v>
      </c>
      <c r="DU73" s="12">
        <f t="shared" si="31"/>
        <v>65.771394934940076</v>
      </c>
      <c r="DV73" s="12">
        <f t="shared" si="31"/>
        <v>64.533481654415169</v>
      </c>
      <c r="DW73" s="12">
        <f t="shared" si="31"/>
        <v>63.49031564613059</v>
      </c>
      <c r="DX73" s="12">
        <f t="shared" si="31"/>
        <v>62.60558147066277</v>
      </c>
      <c r="DY73" s="12">
        <f t="shared" si="31"/>
        <v>61.841218282297234</v>
      </c>
      <c r="DZ73" s="12">
        <f t="shared" si="31"/>
        <v>61.157842915403414</v>
      </c>
      <c r="EA73" s="11">
        <f t="shared" si="31"/>
        <v>60.51518436198598</v>
      </c>
    </row>
    <row r="74" spans="5:131" x14ac:dyDescent="0.3">
      <c r="E74" s="16"/>
      <c r="F74" s="11">
        <f t="shared" si="32"/>
        <v>300.00000000000006</v>
      </c>
      <c r="G74" s="12">
        <f t="shared" si="32"/>
        <v>287.20458331783198</v>
      </c>
      <c r="H74" s="12">
        <f t="shared" si="32"/>
        <v>274.47945650127747</v>
      </c>
      <c r="I74" s="12">
        <f t="shared" si="32"/>
        <v>261.89403216396988</v>
      </c>
      <c r="J74" s="12">
        <f t="shared" si="32"/>
        <v>249.51598121594662</v>
      </c>
      <c r="K74" s="12">
        <f t="shared" si="32"/>
        <v>237.41039374200534</v>
      </c>
      <c r="L74" s="12">
        <f t="shared" si="32"/>
        <v>225.63897720725134</v>
      </c>
      <c r="M74" s="12">
        <f t="shared" si="32"/>
        <v>214.25930321091448</v>
      </c>
      <c r="N74" s="12">
        <f t="shared" si="32"/>
        <v>203.3241130153651</v>
      </c>
      <c r="O74" s="12">
        <f t="shared" si="32"/>
        <v>192.88069089761237</v>
      </c>
      <c r="P74" s="12">
        <f t="shared" si="32"/>
        <v>182.97031304318855</v>
      </c>
      <c r="Q74" s="12">
        <f t="shared" si="32"/>
        <v>173.62777826859923</v>
      </c>
      <c r="R74" s="12">
        <f t="shared" ref="R74:AG89" si="36">CD74*R73+DJ74</f>
        <v>164.88102536165576</v>
      </c>
      <c r="S74" s="12">
        <f t="shared" si="36"/>
        <v>156.75084031219723</v>
      </c>
      <c r="T74" s="12">
        <f t="shared" si="36"/>
        <v>149.25065521040023</v>
      </c>
      <c r="U74" s="12">
        <f t="shared" si="36"/>
        <v>142.38643915412507</v>
      </c>
      <c r="V74" s="12">
        <f t="shared" si="36"/>
        <v>136.15668016384501</v>
      </c>
      <c r="W74" s="12">
        <f t="shared" si="36"/>
        <v>130.55245588106152</v>
      </c>
      <c r="X74" s="12">
        <f t="shared" si="36"/>
        <v>125.55758974443722</v>
      </c>
      <c r="Y74" s="12">
        <f t="shared" si="36"/>
        <v>121.14888841078465</v>
      </c>
      <c r="Z74" s="12">
        <f t="shared" si="36"/>
        <v>117.29645542188683</v>
      </c>
      <c r="AA74" s="12">
        <f t="shared" si="36"/>
        <v>113.96407551228967</v>
      </c>
      <c r="AB74" s="12">
        <f t="shared" si="36"/>
        <v>111.10966350062372</v>
      </c>
      <c r="AC74" s="12">
        <f t="shared" si="36"/>
        <v>108.68577139501522</v>
      </c>
      <c r="AD74" s="12">
        <f t="shared" si="36"/>
        <v>106.64014715446092</v>
      </c>
      <c r="AE74" s="12">
        <f t="shared" si="36"/>
        <v>104.91633846201007</v>
      </c>
      <c r="AF74" s="12">
        <f t="shared" si="36"/>
        <v>103.45433485945047</v>
      </c>
      <c r="AG74" s="12">
        <f t="shared" si="35"/>
        <v>102.19124164338535</v>
      </c>
      <c r="AH74" s="12">
        <f t="shared" si="33"/>
        <v>101.06197900608419</v>
      </c>
      <c r="AI74" s="11">
        <f t="shared" si="33"/>
        <v>100.00000000000001</v>
      </c>
      <c r="AK74" s="18"/>
      <c r="AL74" s="11">
        <f t="shared" si="34"/>
        <v>-1076400000</v>
      </c>
      <c r="AM74" s="12">
        <f t="shared" si="26"/>
        <v>-1030490044.9443809</v>
      </c>
      <c r="AN74" s="12">
        <f t="shared" si="26"/>
        <v>-984832289.92658353</v>
      </c>
      <c r="AO74" s="12">
        <f t="shared" si="26"/>
        <v>-939675787.4043237</v>
      </c>
      <c r="AP74" s="12">
        <f t="shared" si="26"/>
        <v>-895263340.60281622</v>
      </c>
      <c r="AQ74" s="12">
        <f t="shared" si="26"/>
        <v>-851828492.746315</v>
      </c>
      <c r="AR74" s="12">
        <f t="shared" si="26"/>
        <v>-809592650.21961784</v>
      </c>
      <c r="AS74" s="12">
        <f t="shared" si="26"/>
        <v>-768762379.92076111</v>
      </c>
      <c r="AT74" s="12">
        <f t="shared" si="26"/>
        <v>-729526917.49912989</v>
      </c>
      <c r="AU74" s="12">
        <f t="shared" si="26"/>
        <v>-692055918.94063306</v>
      </c>
      <c r="AV74" s="12">
        <f t="shared" si="26"/>
        <v>-656497483.19896042</v>
      </c>
      <c r="AW74" s="12">
        <f t="shared" si="26"/>
        <v>-622976468.42773402</v>
      </c>
      <c r="AX74" s="12">
        <f t="shared" si="26"/>
        <v>-591593118.99762082</v>
      </c>
      <c r="AY74" s="12">
        <f t="shared" si="26"/>
        <v>-562422015.04016352</v>
      </c>
      <c r="AZ74" s="12">
        <f t="shared" si="26"/>
        <v>-535511350.894916</v>
      </c>
      <c r="BA74" s="12">
        <f t="shared" si="26"/>
        <v>-510882543.68500066</v>
      </c>
      <c r="BB74" s="12">
        <f t="shared" si="26"/>
        <v>-488530168.427876</v>
      </c>
      <c r="BC74" s="12">
        <f t="shared" si="27"/>
        <v>-468422211.70124865</v>
      </c>
      <c r="BD74" s="12">
        <f t="shared" si="27"/>
        <v>-450500632.00304073</v>
      </c>
      <c r="BE74" s="12">
        <f t="shared" si="27"/>
        <v>-434682211.61789531</v>
      </c>
      <c r="BF74" s="12">
        <f t="shared" si="27"/>
        <v>-420859682.05372995</v>
      </c>
      <c r="BG74" s="12">
        <f t="shared" si="27"/>
        <v>-408903102.93809533</v>
      </c>
      <c r="BH74" s="12">
        <f t="shared" si="27"/>
        <v>-398661472.64023793</v>
      </c>
      <c r="BI74" s="12">
        <f t="shared" si="27"/>
        <v>-389964547.76531458</v>
      </c>
      <c r="BJ74" s="12">
        <f t="shared" si="27"/>
        <v>-382624847.99020571</v>
      </c>
      <c r="BK74" s="12">
        <f t="shared" si="27"/>
        <v>-376439822.40169209</v>
      </c>
      <c r="BL74" s="12">
        <f t="shared" si="27"/>
        <v>-371194153.47570825</v>
      </c>
      <c r="BM74" s="12">
        <f t="shared" si="27"/>
        <v>-366662175.01646668</v>
      </c>
      <c r="BN74" s="12">
        <f t="shared" si="27"/>
        <v>-362610380.67383003</v>
      </c>
      <c r="BO74" s="11">
        <f t="shared" si="27"/>
        <v>-358800000</v>
      </c>
      <c r="BQ74" s="16"/>
      <c r="BR74" s="11">
        <f t="shared" si="28"/>
        <v>0.39484815638014059</v>
      </c>
      <c r="BS74" s="12">
        <f t="shared" si="28"/>
        <v>0.39484815638014059</v>
      </c>
      <c r="BT74" s="12">
        <f t="shared" si="28"/>
        <v>0.39484815638014059</v>
      </c>
      <c r="BU74" s="12">
        <f t="shared" si="28"/>
        <v>0.39484815638014059</v>
      </c>
      <c r="BV74" s="12">
        <f t="shared" si="28"/>
        <v>0.39484815638014059</v>
      </c>
      <c r="BW74" s="12">
        <f t="shared" si="28"/>
        <v>0.39484815638014059</v>
      </c>
      <c r="BX74" s="12">
        <f t="shared" si="28"/>
        <v>0.39484815638014059</v>
      </c>
      <c r="BY74" s="12">
        <f t="shared" si="28"/>
        <v>0.39484815638014059</v>
      </c>
      <c r="BZ74" s="12">
        <f t="shared" si="28"/>
        <v>0.39484815638014059</v>
      </c>
      <c r="CA74" s="12">
        <f t="shared" si="28"/>
        <v>0.39484815638014059</v>
      </c>
      <c r="CB74" s="12">
        <f t="shared" si="28"/>
        <v>0.39484815638014059</v>
      </c>
      <c r="CC74" s="12">
        <f t="shared" si="28"/>
        <v>0.39484815638014059</v>
      </c>
      <c r="CD74" s="12">
        <f t="shared" si="28"/>
        <v>0.39484815638014059</v>
      </c>
      <c r="CE74" s="12">
        <f t="shared" si="28"/>
        <v>0.39484815638014059</v>
      </c>
      <c r="CF74" s="12">
        <f t="shared" si="28"/>
        <v>0.39484815638014059</v>
      </c>
      <c r="CG74" s="12">
        <f t="shared" si="28"/>
        <v>0.39484815638014059</v>
      </c>
      <c r="CH74" s="12">
        <f t="shared" si="29"/>
        <v>0.39484815638014059</v>
      </c>
      <c r="CI74" s="12">
        <f t="shared" si="29"/>
        <v>0.39484815638014059</v>
      </c>
      <c r="CJ74" s="12">
        <f t="shared" si="29"/>
        <v>0.39484815638014059</v>
      </c>
      <c r="CK74" s="12">
        <f t="shared" si="29"/>
        <v>0.39484815638014059</v>
      </c>
      <c r="CL74" s="12">
        <f t="shared" si="29"/>
        <v>0.39484815638014059</v>
      </c>
      <c r="CM74" s="12">
        <f t="shared" si="29"/>
        <v>0.39484815638014059</v>
      </c>
      <c r="CN74" s="12">
        <f t="shared" si="29"/>
        <v>0.39484815638014059</v>
      </c>
      <c r="CO74" s="12">
        <f t="shared" si="29"/>
        <v>0.39484815638014059</v>
      </c>
      <c r="CP74" s="12">
        <f t="shared" si="29"/>
        <v>0.39484815638014059</v>
      </c>
      <c r="CQ74" s="12">
        <f t="shared" si="29"/>
        <v>0.39484815638014059</v>
      </c>
      <c r="CR74" s="12">
        <f t="shared" si="29"/>
        <v>0.39484815638014059</v>
      </c>
      <c r="CS74" s="12">
        <f t="shared" si="29"/>
        <v>0.39484815638014059</v>
      </c>
      <c r="CT74" s="12">
        <f t="shared" si="29"/>
        <v>0.39484815638014059</v>
      </c>
      <c r="CU74" s="11">
        <f t="shared" si="29"/>
        <v>0.39484815638014059</v>
      </c>
      <c r="CW74" s="16"/>
      <c r="CX74" s="11">
        <f t="shared" si="30"/>
        <v>181.54555308595786</v>
      </c>
      <c r="CY74" s="12">
        <f t="shared" si="30"/>
        <v>173.80238309085956</v>
      </c>
      <c r="CZ74" s="12">
        <f t="shared" si="30"/>
        <v>166.1017491375251</v>
      </c>
      <c r="DA74" s="12">
        <f t="shared" si="30"/>
        <v>158.48565639706516</v>
      </c>
      <c r="DB74" s="12">
        <f t="shared" si="30"/>
        <v>150.99505604544834</v>
      </c>
      <c r="DC74" s="12">
        <f t="shared" si="30"/>
        <v>143.66933746749129</v>
      </c>
      <c r="DD74" s="12">
        <f t="shared" si="30"/>
        <v>136.54584304946763</v>
      </c>
      <c r="DE74" s="12">
        <f t="shared" si="30"/>
        <v>129.6594123507914</v>
      </c>
      <c r="DF74" s="12">
        <f t="shared" si="30"/>
        <v>123.04196184362088</v>
      </c>
      <c r="DG74" s="12">
        <f t="shared" si="30"/>
        <v>116.7221056953624</v>
      </c>
      <c r="DH74" s="12">
        <f t="shared" si="30"/>
        <v>110.72482226578839</v>
      </c>
      <c r="DI74" s="12">
        <f t="shared" si="30"/>
        <v>105.07117012286302</v>
      </c>
      <c r="DJ74" s="12">
        <f t="shared" si="30"/>
        <v>99.778056475538818</v>
      </c>
      <c r="DK74" s="12">
        <f t="shared" si="30"/>
        <v>94.858060003888355</v>
      </c>
      <c r="DL74" s="12">
        <f t="shared" si="30"/>
        <v>90.319309162045712</v>
      </c>
      <c r="DM74" s="12">
        <f t="shared" si="30"/>
        <v>86.16541616058575</v>
      </c>
      <c r="DN74" s="12">
        <f t="shared" si="31"/>
        <v>82.395466022310387</v>
      </c>
      <c r="DO74" s="12">
        <f t="shared" si="31"/>
        <v>79.004059365524768</v>
      </c>
      <c r="DP74" s="12">
        <f t="shared" si="31"/>
        <v>75.981406914312174</v>
      </c>
      <c r="DQ74" s="12">
        <f t="shared" si="31"/>
        <v>73.313473174282976</v>
      </c>
      <c r="DR74" s="12">
        <f t="shared" si="31"/>
        <v>70.982166248629497</v>
      </c>
      <c r="DS74" s="12">
        <f t="shared" si="31"/>
        <v>68.965570402694993</v>
      </c>
      <c r="DT74" s="12">
        <f t="shared" si="31"/>
        <v>67.238217711384664</v>
      </c>
      <c r="DU74" s="12">
        <f t="shared" si="31"/>
        <v>65.771394934940062</v>
      </c>
      <c r="DV74" s="12">
        <f t="shared" si="31"/>
        <v>64.533481654415141</v>
      </c>
      <c r="DW74" s="12">
        <f t="shared" si="31"/>
        <v>63.490315646130576</v>
      </c>
      <c r="DX74" s="12">
        <f t="shared" si="31"/>
        <v>62.605581470662756</v>
      </c>
      <c r="DY74" s="12">
        <f t="shared" si="31"/>
        <v>61.84121828229722</v>
      </c>
      <c r="DZ74" s="12">
        <f t="shared" si="31"/>
        <v>61.157842915403378</v>
      </c>
      <c r="EA74" s="11">
        <f t="shared" si="31"/>
        <v>60.515184361985952</v>
      </c>
    </row>
    <row r="75" spans="5:131" x14ac:dyDescent="0.3">
      <c r="E75" s="16"/>
      <c r="F75" s="11">
        <f t="shared" ref="F75:U90" si="37">BR75*F74+CX75</f>
        <v>300.00000000000006</v>
      </c>
      <c r="G75" s="12">
        <f t="shared" si="37"/>
        <v>287.20458331783198</v>
      </c>
      <c r="H75" s="12">
        <f t="shared" si="37"/>
        <v>274.47945650127753</v>
      </c>
      <c r="I75" s="12">
        <f t="shared" si="37"/>
        <v>261.89403216396994</v>
      </c>
      <c r="J75" s="12">
        <f t="shared" si="37"/>
        <v>249.51598121594668</v>
      </c>
      <c r="K75" s="12">
        <f t="shared" si="37"/>
        <v>237.41039374200534</v>
      </c>
      <c r="L75" s="12">
        <f t="shared" si="37"/>
        <v>225.6389772072514</v>
      </c>
      <c r="M75" s="12">
        <f t="shared" si="37"/>
        <v>214.25930321091451</v>
      </c>
      <c r="N75" s="12">
        <f t="shared" si="37"/>
        <v>203.32411301536513</v>
      </c>
      <c r="O75" s="12">
        <f t="shared" si="37"/>
        <v>192.88069089761245</v>
      </c>
      <c r="P75" s="12">
        <f t="shared" si="37"/>
        <v>182.97031304318864</v>
      </c>
      <c r="Q75" s="12">
        <f t="shared" si="37"/>
        <v>173.62777826859929</v>
      </c>
      <c r="R75" s="12">
        <f t="shared" si="36"/>
        <v>164.88102536165582</v>
      </c>
      <c r="S75" s="12">
        <f t="shared" si="36"/>
        <v>156.75084031219728</v>
      </c>
      <c r="T75" s="12">
        <f t="shared" si="36"/>
        <v>149.25065521040028</v>
      </c>
      <c r="U75" s="12">
        <f t="shared" si="36"/>
        <v>142.38643915412513</v>
      </c>
      <c r="V75" s="12">
        <f t="shared" si="36"/>
        <v>136.15668016384507</v>
      </c>
      <c r="W75" s="12">
        <f t="shared" si="36"/>
        <v>130.55245588106158</v>
      </c>
      <c r="X75" s="12">
        <f t="shared" si="36"/>
        <v>125.55758974443727</v>
      </c>
      <c r="Y75" s="12">
        <f t="shared" si="36"/>
        <v>121.14888841078471</v>
      </c>
      <c r="Z75" s="12">
        <f t="shared" si="36"/>
        <v>117.29645542188688</v>
      </c>
      <c r="AA75" s="12">
        <f t="shared" si="36"/>
        <v>113.96407551228971</v>
      </c>
      <c r="AB75" s="12">
        <f t="shared" si="36"/>
        <v>111.10966350062375</v>
      </c>
      <c r="AC75" s="12">
        <f t="shared" si="36"/>
        <v>108.68577139501525</v>
      </c>
      <c r="AD75" s="12">
        <f t="shared" si="36"/>
        <v>106.64014715446095</v>
      </c>
      <c r="AE75" s="12">
        <f t="shared" si="36"/>
        <v>104.91633846201009</v>
      </c>
      <c r="AF75" s="12">
        <f t="shared" si="36"/>
        <v>103.45433485945048</v>
      </c>
      <c r="AG75" s="12">
        <f t="shared" si="35"/>
        <v>102.19124164338537</v>
      </c>
      <c r="AH75" s="12">
        <f t="shared" si="33"/>
        <v>101.06197900608419</v>
      </c>
      <c r="AI75" s="11">
        <f t="shared" si="33"/>
        <v>100.00000000000001</v>
      </c>
      <c r="AK75" s="18"/>
      <c r="AL75" s="11">
        <f t="shared" si="34"/>
        <v>-1076400000</v>
      </c>
      <c r="AM75" s="12">
        <f t="shared" si="26"/>
        <v>-1030490044.9443809</v>
      </c>
      <c r="AN75" s="12">
        <f t="shared" si="26"/>
        <v>-984832289.92658377</v>
      </c>
      <c r="AO75" s="12">
        <f t="shared" si="26"/>
        <v>-939675787.40432394</v>
      </c>
      <c r="AP75" s="12">
        <f t="shared" si="26"/>
        <v>-895263340.60281646</v>
      </c>
      <c r="AQ75" s="12">
        <f t="shared" si="26"/>
        <v>-851828492.74631512</v>
      </c>
      <c r="AR75" s="12">
        <f t="shared" si="26"/>
        <v>-809592650.21961784</v>
      </c>
      <c r="AS75" s="12">
        <f t="shared" si="26"/>
        <v>-768762379.92076123</v>
      </c>
      <c r="AT75" s="12">
        <f t="shared" si="26"/>
        <v>-729526917.49913013</v>
      </c>
      <c r="AU75" s="12">
        <f t="shared" si="26"/>
        <v>-692055918.94063342</v>
      </c>
      <c r="AV75" s="12">
        <f t="shared" si="26"/>
        <v>-656497483.19896078</v>
      </c>
      <c r="AW75" s="12">
        <f t="shared" si="26"/>
        <v>-622976468.42773426</v>
      </c>
      <c r="AX75" s="12">
        <f t="shared" si="26"/>
        <v>-591593118.99762106</v>
      </c>
      <c r="AY75" s="12">
        <f t="shared" si="26"/>
        <v>-562422015.04016387</v>
      </c>
      <c r="AZ75" s="12">
        <f t="shared" si="26"/>
        <v>-535511350.89491624</v>
      </c>
      <c r="BA75" s="12">
        <f t="shared" si="26"/>
        <v>-510882543.68500084</v>
      </c>
      <c r="BB75" s="12">
        <f t="shared" si="26"/>
        <v>-488530168.42787611</v>
      </c>
      <c r="BC75" s="12">
        <f t="shared" si="27"/>
        <v>-468422211.70124882</v>
      </c>
      <c r="BD75" s="12">
        <f t="shared" si="27"/>
        <v>-450500632.00304097</v>
      </c>
      <c r="BE75" s="12">
        <f t="shared" si="27"/>
        <v>-434682211.61789548</v>
      </c>
      <c r="BF75" s="12">
        <f t="shared" si="27"/>
        <v>-420859682.05373013</v>
      </c>
      <c r="BG75" s="12">
        <f t="shared" si="27"/>
        <v>-408903102.93809545</v>
      </c>
      <c r="BH75" s="12">
        <f t="shared" si="27"/>
        <v>-398661472.64023805</v>
      </c>
      <c r="BI75" s="12">
        <f t="shared" si="27"/>
        <v>-389964547.7653147</v>
      </c>
      <c r="BJ75" s="12">
        <f t="shared" si="27"/>
        <v>-382624847.99020576</v>
      </c>
      <c r="BK75" s="12">
        <f t="shared" si="27"/>
        <v>-376439822.40169209</v>
      </c>
      <c r="BL75" s="12">
        <f t="shared" si="27"/>
        <v>-371194153.47570825</v>
      </c>
      <c r="BM75" s="12">
        <f t="shared" si="27"/>
        <v>-366662175.01646668</v>
      </c>
      <c r="BN75" s="12">
        <f t="shared" si="27"/>
        <v>-362610380.67383003</v>
      </c>
      <c r="BO75" s="11">
        <f t="shared" si="27"/>
        <v>-358800000</v>
      </c>
      <c r="BQ75" s="16"/>
      <c r="BR75" s="11">
        <f t="shared" si="28"/>
        <v>0.3948481563801427</v>
      </c>
      <c r="BS75" s="12">
        <f t="shared" si="28"/>
        <v>0.3948481563801427</v>
      </c>
      <c r="BT75" s="12">
        <f t="shared" si="28"/>
        <v>0.3948481563801427</v>
      </c>
      <c r="BU75" s="12">
        <f t="shared" si="28"/>
        <v>0.3948481563801427</v>
      </c>
      <c r="BV75" s="12">
        <f t="shared" si="28"/>
        <v>0.3948481563801427</v>
      </c>
      <c r="BW75" s="12">
        <f t="shared" si="28"/>
        <v>0.3948481563801427</v>
      </c>
      <c r="BX75" s="12">
        <f t="shared" si="28"/>
        <v>0.3948481563801427</v>
      </c>
      <c r="BY75" s="12">
        <f t="shared" si="28"/>
        <v>0.3948481563801427</v>
      </c>
      <c r="BZ75" s="12">
        <f t="shared" si="28"/>
        <v>0.3948481563801427</v>
      </c>
      <c r="CA75" s="12">
        <f t="shared" si="28"/>
        <v>0.3948481563801427</v>
      </c>
      <c r="CB75" s="12">
        <f t="shared" si="28"/>
        <v>0.3948481563801427</v>
      </c>
      <c r="CC75" s="12">
        <f t="shared" si="28"/>
        <v>0.3948481563801427</v>
      </c>
      <c r="CD75" s="12">
        <f t="shared" si="28"/>
        <v>0.3948481563801427</v>
      </c>
      <c r="CE75" s="12">
        <f t="shared" si="28"/>
        <v>0.3948481563801427</v>
      </c>
      <c r="CF75" s="12">
        <f t="shared" si="28"/>
        <v>0.3948481563801427</v>
      </c>
      <c r="CG75" s="12">
        <f t="shared" si="28"/>
        <v>0.3948481563801427</v>
      </c>
      <c r="CH75" s="12">
        <f t="shared" si="29"/>
        <v>0.3948481563801427</v>
      </c>
      <c r="CI75" s="12">
        <f t="shared" si="29"/>
        <v>0.3948481563801427</v>
      </c>
      <c r="CJ75" s="12">
        <f t="shared" si="29"/>
        <v>0.3948481563801427</v>
      </c>
      <c r="CK75" s="12">
        <f t="shared" si="29"/>
        <v>0.3948481563801427</v>
      </c>
      <c r="CL75" s="12">
        <f t="shared" si="29"/>
        <v>0.3948481563801427</v>
      </c>
      <c r="CM75" s="12">
        <f t="shared" si="29"/>
        <v>0.3948481563801427</v>
      </c>
      <c r="CN75" s="12">
        <f t="shared" si="29"/>
        <v>0.3948481563801427</v>
      </c>
      <c r="CO75" s="12">
        <f t="shared" si="29"/>
        <v>0.3948481563801427</v>
      </c>
      <c r="CP75" s="12">
        <f t="shared" si="29"/>
        <v>0.3948481563801427</v>
      </c>
      <c r="CQ75" s="12">
        <f t="shared" si="29"/>
        <v>0.3948481563801427</v>
      </c>
      <c r="CR75" s="12">
        <f t="shared" si="29"/>
        <v>0.3948481563801427</v>
      </c>
      <c r="CS75" s="12">
        <f t="shared" si="29"/>
        <v>0.3948481563801427</v>
      </c>
      <c r="CT75" s="12">
        <f t="shared" si="29"/>
        <v>0.3948481563801427</v>
      </c>
      <c r="CU75" s="11">
        <f t="shared" si="29"/>
        <v>0.3948481563801427</v>
      </c>
      <c r="CW75" s="16"/>
      <c r="CX75" s="11">
        <f t="shared" si="30"/>
        <v>181.54555308595724</v>
      </c>
      <c r="CY75" s="12">
        <f t="shared" si="30"/>
        <v>173.80238309085894</v>
      </c>
      <c r="CZ75" s="12">
        <f t="shared" si="30"/>
        <v>166.10174913752456</v>
      </c>
      <c r="DA75" s="12">
        <f t="shared" si="30"/>
        <v>158.48565639706464</v>
      </c>
      <c r="DB75" s="12">
        <f t="shared" si="30"/>
        <v>150.99505604544782</v>
      </c>
      <c r="DC75" s="12">
        <f t="shared" si="30"/>
        <v>143.66933746749078</v>
      </c>
      <c r="DD75" s="12">
        <f t="shared" si="30"/>
        <v>136.54584304946715</v>
      </c>
      <c r="DE75" s="12">
        <f t="shared" si="30"/>
        <v>129.65941235079094</v>
      </c>
      <c r="DF75" s="12">
        <f t="shared" si="30"/>
        <v>123.04196184362046</v>
      </c>
      <c r="DG75" s="12">
        <f t="shared" si="30"/>
        <v>116.72210569536202</v>
      </c>
      <c r="DH75" s="12">
        <f t="shared" si="30"/>
        <v>110.72482226578805</v>
      </c>
      <c r="DI75" s="12">
        <f t="shared" si="30"/>
        <v>105.07117012286268</v>
      </c>
      <c r="DJ75" s="12">
        <f t="shared" si="30"/>
        <v>99.778056475538477</v>
      </c>
      <c r="DK75" s="12">
        <f t="shared" si="30"/>
        <v>94.858060003888056</v>
      </c>
      <c r="DL75" s="12">
        <f t="shared" si="30"/>
        <v>90.319309162045428</v>
      </c>
      <c r="DM75" s="12">
        <f t="shared" si="30"/>
        <v>86.16541616058548</v>
      </c>
      <c r="DN75" s="12">
        <f t="shared" si="31"/>
        <v>82.395466022310117</v>
      </c>
      <c r="DO75" s="12">
        <f t="shared" si="31"/>
        <v>79.004059365524512</v>
      </c>
      <c r="DP75" s="12">
        <f t="shared" si="31"/>
        <v>75.981406914311918</v>
      </c>
      <c r="DQ75" s="12">
        <f t="shared" si="31"/>
        <v>73.313473174282748</v>
      </c>
      <c r="DR75" s="12">
        <f t="shared" si="31"/>
        <v>70.982166248629269</v>
      </c>
      <c r="DS75" s="12">
        <f t="shared" si="31"/>
        <v>68.965570402694766</v>
      </c>
      <c r="DT75" s="12">
        <f t="shared" si="31"/>
        <v>67.238217711384451</v>
      </c>
      <c r="DU75" s="12">
        <f t="shared" si="31"/>
        <v>65.771394934939835</v>
      </c>
      <c r="DV75" s="12">
        <f t="shared" si="31"/>
        <v>64.533481654414928</v>
      </c>
      <c r="DW75" s="12">
        <f t="shared" si="31"/>
        <v>63.490315646130355</v>
      </c>
      <c r="DX75" s="12">
        <f t="shared" si="31"/>
        <v>62.605581470662528</v>
      </c>
      <c r="DY75" s="12">
        <f t="shared" si="31"/>
        <v>61.841218282297</v>
      </c>
      <c r="DZ75" s="12">
        <f t="shared" si="31"/>
        <v>61.157842915403165</v>
      </c>
      <c r="EA75" s="11">
        <f t="shared" si="31"/>
        <v>60.515184361985739</v>
      </c>
    </row>
    <row r="76" spans="5:131" x14ac:dyDescent="0.3">
      <c r="E76" s="16"/>
      <c r="F76" s="11">
        <f t="shared" si="37"/>
        <v>300</v>
      </c>
      <c r="G76" s="12">
        <f t="shared" si="37"/>
        <v>287.20458331783198</v>
      </c>
      <c r="H76" s="12">
        <f t="shared" si="37"/>
        <v>274.47945650127758</v>
      </c>
      <c r="I76" s="12">
        <f t="shared" si="37"/>
        <v>261.89403216396994</v>
      </c>
      <c r="J76" s="12">
        <f t="shared" si="37"/>
        <v>249.51598121594662</v>
      </c>
      <c r="K76" s="12">
        <f t="shared" si="37"/>
        <v>237.41039374200531</v>
      </c>
      <c r="L76" s="12">
        <f t="shared" si="37"/>
        <v>225.6389772072514</v>
      </c>
      <c r="M76" s="12">
        <f t="shared" si="37"/>
        <v>214.25930321091454</v>
      </c>
      <c r="N76" s="12">
        <f t="shared" si="37"/>
        <v>203.32411301536516</v>
      </c>
      <c r="O76" s="12">
        <f t="shared" si="37"/>
        <v>192.88069089761245</v>
      </c>
      <c r="P76" s="12">
        <f t="shared" si="37"/>
        <v>182.97031304318864</v>
      </c>
      <c r="Q76" s="12">
        <f t="shared" si="37"/>
        <v>173.62777826859929</v>
      </c>
      <c r="R76" s="12">
        <f t="shared" si="36"/>
        <v>164.88102536165582</v>
      </c>
      <c r="S76" s="12">
        <f t="shared" si="36"/>
        <v>156.75084031219728</v>
      </c>
      <c r="T76" s="12">
        <f t="shared" si="36"/>
        <v>149.25065521040031</v>
      </c>
      <c r="U76" s="12">
        <f t="shared" si="36"/>
        <v>142.38643915412516</v>
      </c>
      <c r="V76" s="12">
        <f t="shared" si="36"/>
        <v>136.1566801638451</v>
      </c>
      <c r="W76" s="12">
        <f t="shared" si="36"/>
        <v>130.55245588106158</v>
      </c>
      <c r="X76" s="12">
        <f t="shared" si="36"/>
        <v>125.55758974443728</v>
      </c>
      <c r="Y76" s="12">
        <f t="shared" si="36"/>
        <v>121.14888841078474</v>
      </c>
      <c r="Z76" s="12">
        <f t="shared" si="36"/>
        <v>117.29645542188689</v>
      </c>
      <c r="AA76" s="12">
        <f t="shared" si="36"/>
        <v>113.96407551228971</v>
      </c>
      <c r="AB76" s="12">
        <f t="shared" si="36"/>
        <v>111.10966350062377</v>
      </c>
      <c r="AC76" s="12">
        <f t="shared" si="36"/>
        <v>108.68577139501525</v>
      </c>
      <c r="AD76" s="12">
        <f t="shared" si="36"/>
        <v>106.64014715446095</v>
      </c>
      <c r="AE76" s="12">
        <f t="shared" si="36"/>
        <v>104.91633846201009</v>
      </c>
      <c r="AF76" s="12">
        <f t="shared" si="36"/>
        <v>103.45433485945048</v>
      </c>
      <c r="AG76" s="12">
        <f t="shared" si="35"/>
        <v>102.19124164338537</v>
      </c>
      <c r="AH76" s="12">
        <f t="shared" si="33"/>
        <v>101.06197900608419</v>
      </c>
      <c r="AI76" s="11">
        <f t="shared" si="33"/>
        <v>100</v>
      </c>
      <c r="AK76" s="18"/>
      <c r="AL76" s="11">
        <f t="shared" si="34"/>
        <v>-1076400000</v>
      </c>
      <c r="AM76" s="12">
        <f t="shared" si="26"/>
        <v>-1030490044.9443809</v>
      </c>
      <c r="AN76" s="12">
        <f t="shared" si="26"/>
        <v>-984832289.92658377</v>
      </c>
      <c r="AO76" s="12">
        <f t="shared" si="26"/>
        <v>-939675787.40432394</v>
      </c>
      <c r="AP76" s="12">
        <f t="shared" si="26"/>
        <v>-895263340.60281646</v>
      </c>
      <c r="AQ76" s="12">
        <f t="shared" si="26"/>
        <v>-851828492.74631512</v>
      </c>
      <c r="AR76" s="12">
        <f t="shared" si="26"/>
        <v>-809592650.21961796</v>
      </c>
      <c r="AS76" s="12">
        <f t="shared" si="26"/>
        <v>-768762379.92076135</v>
      </c>
      <c r="AT76" s="12">
        <f t="shared" si="26"/>
        <v>-729526917.49913013</v>
      </c>
      <c r="AU76" s="12">
        <f t="shared" si="26"/>
        <v>-692055918.94063342</v>
      </c>
      <c r="AV76" s="12">
        <f t="shared" si="26"/>
        <v>-656497483.19896078</v>
      </c>
      <c r="AW76" s="12">
        <f t="shared" si="26"/>
        <v>-622976468.42773426</v>
      </c>
      <c r="AX76" s="12">
        <f t="shared" si="26"/>
        <v>-591593118.99762106</v>
      </c>
      <c r="AY76" s="12">
        <f t="shared" si="26"/>
        <v>-562422015.04016387</v>
      </c>
      <c r="AZ76" s="12">
        <f t="shared" si="26"/>
        <v>-535511350.8949163</v>
      </c>
      <c r="BA76" s="12">
        <f t="shared" si="26"/>
        <v>-510882543.68500096</v>
      </c>
      <c r="BB76" s="12">
        <f t="shared" si="26"/>
        <v>-488530168.42787617</v>
      </c>
      <c r="BC76" s="12">
        <f t="shared" si="27"/>
        <v>-468422211.70124882</v>
      </c>
      <c r="BD76" s="12">
        <f t="shared" si="27"/>
        <v>-450500632.00304097</v>
      </c>
      <c r="BE76" s="12">
        <f t="shared" si="27"/>
        <v>-434682211.61789554</v>
      </c>
      <c r="BF76" s="12">
        <f t="shared" si="27"/>
        <v>-420859682.05373019</v>
      </c>
      <c r="BG76" s="12">
        <f t="shared" si="27"/>
        <v>-408903102.93809551</v>
      </c>
      <c r="BH76" s="12">
        <f t="shared" si="27"/>
        <v>-398661472.64023811</v>
      </c>
      <c r="BI76" s="12">
        <f t="shared" si="27"/>
        <v>-389964547.7653147</v>
      </c>
      <c r="BJ76" s="12">
        <f t="shared" si="27"/>
        <v>-382624847.99020588</v>
      </c>
      <c r="BK76" s="12">
        <f t="shared" si="27"/>
        <v>-376439822.40169221</v>
      </c>
      <c r="BL76" s="12">
        <f t="shared" si="27"/>
        <v>-371194153.47570825</v>
      </c>
      <c r="BM76" s="12">
        <f t="shared" si="27"/>
        <v>-366662175.01646668</v>
      </c>
      <c r="BN76" s="12">
        <f t="shared" si="27"/>
        <v>-362610380.67383003</v>
      </c>
      <c r="BO76" s="11">
        <f t="shared" si="27"/>
        <v>-358800000</v>
      </c>
      <c r="BQ76" s="16"/>
      <c r="BR76" s="11">
        <f t="shared" si="28"/>
        <v>0.39484815638015619</v>
      </c>
      <c r="BS76" s="12">
        <f t="shared" si="28"/>
        <v>0.39484815638015619</v>
      </c>
      <c r="BT76" s="12">
        <f t="shared" si="28"/>
        <v>0.39484815638015619</v>
      </c>
      <c r="BU76" s="12">
        <f t="shared" si="28"/>
        <v>0.39484815638015619</v>
      </c>
      <c r="BV76" s="12">
        <f t="shared" si="28"/>
        <v>0.39484815638015619</v>
      </c>
      <c r="BW76" s="12">
        <f t="shared" si="28"/>
        <v>0.39484815638015619</v>
      </c>
      <c r="BX76" s="12">
        <f t="shared" si="28"/>
        <v>0.39484815638015619</v>
      </c>
      <c r="BY76" s="12">
        <f t="shared" si="28"/>
        <v>0.39484815638015619</v>
      </c>
      <c r="BZ76" s="12">
        <f t="shared" si="28"/>
        <v>0.39484815638015619</v>
      </c>
      <c r="CA76" s="12">
        <f t="shared" si="28"/>
        <v>0.39484815638015619</v>
      </c>
      <c r="CB76" s="12">
        <f t="shared" si="28"/>
        <v>0.39484815638015619</v>
      </c>
      <c r="CC76" s="12">
        <f t="shared" si="28"/>
        <v>0.39484815638015619</v>
      </c>
      <c r="CD76" s="12">
        <f t="shared" si="28"/>
        <v>0.39484815638015619</v>
      </c>
      <c r="CE76" s="12">
        <f t="shared" si="28"/>
        <v>0.39484815638015619</v>
      </c>
      <c r="CF76" s="12">
        <f t="shared" si="28"/>
        <v>0.39484815638015619</v>
      </c>
      <c r="CG76" s="12">
        <f t="shared" si="28"/>
        <v>0.39484815638015619</v>
      </c>
      <c r="CH76" s="12">
        <f t="shared" si="29"/>
        <v>0.39484815638015619</v>
      </c>
      <c r="CI76" s="12">
        <f t="shared" si="29"/>
        <v>0.39484815638015619</v>
      </c>
      <c r="CJ76" s="12">
        <f t="shared" si="29"/>
        <v>0.39484815638015619</v>
      </c>
      <c r="CK76" s="12">
        <f t="shared" si="29"/>
        <v>0.39484815638015619</v>
      </c>
      <c r="CL76" s="12">
        <f t="shared" si="29"/>
        <v>0.39484815638015619</v>
      </c>
      <c r="CM76" s="12">
        <f t="shared" si="29"/>
        <v>0.39484815638015619</v>
      </c>
      <c r="CN76" s="12">
        <f t="shared" si="29"/>
        <v>0.39484815638015619</v>
      </c>
      <c r="CO76" s="12">
        <f t="shared" si="29"/>
        <v>0.39484815638015619</v>
      </c>
      <c r="CP76" s="12">
        <f t="shared" si="29"/>
        <v>0.39484815638015619</v>
      </c>
      <c r="CQ76" s="12">
        <f t="shared" si="29"/>
        <v>0.39484815638015619</v>
      </c>
      <c r="CR76" s="12">
        <f t="shared" si="29"/>
        <v>0.39484815638015619</v>
      </c>
      <c r="CS76" s="12">
        <f t="shared" si="29"/>
        <v>0.39484815638015619</v>
      </c>
      <c r="CT76" s="12">
        <f t="shared" si="29"/>
        <v>0.39484815638015619</v>
      </c>
      <c r="CU76" s="11">
        <f t="shared" si="29"/>
        <v>0.39484815638015619</v>
      </c>
      <c r="CW76" s="16"/>
      <c r="CX76" s="11">
        <f t="shared" si="30"/>
        <v>181.54555308595315</v>
      </c>
      <c r="CY76" s="12">
        <f t="shared" si="30"/>
        <v>173.80238309085505</v>
      </c>
      <c r="CZ76" s="12">
        <f t="shared" si="30"/>
        <v>166.10174913752084</v>
      </c>
      <c r="DA76" s="12">
        <f t="shared" si="30"/>
        <v>158.48565639706106</v>
      </c>
      <c r="DB76" s="12">
        <f t="shared" si="30"/>
        <v>150.99505604544441</v>
      </c>
      <c r="DC76" s="12">
        <f t="shared" si="30"/>
        <v>143.66933746748754</v>
      </c>
      <c r="DD76" s="12">
        <f t="shared" si="30"/>
        <v>136.54584304946411</v>
      </c>
      <c r="DE76" s="12">
        <f t="shared" si="30"/>
        <v>129.65941235078805</v>
      </c>
      <c r="DF76" s="12">
        <f t="shared" si="30"/>
        <v>123.04196184361771</v>
      </c>
      <c r="DG76" s="12">
        <f t="shared" si="30"/>
        <v>116.72210569535939</v>
      </c>
      <c r="DH76" s="12">
        <f t="shared" si="30"/>
        <v>110.72482226578556</v>
      </c>
      <c r="DI76" s="12">
        <f t="shared" si="30"/>
        <v>105.07117012286032</v>
      </c>
      <c r="DJ76" s="12">
        <f t="shared" si="30"/>
        <v>99.778056475536246</v>
      </c>
      <c r="DK76" s="12">
        <f t="shared" si="30"/>
        <v>94.858060003885925</v>
      </c>
      <c r="DL76" s="12">
        <f t="shared" si="30"/>
        <v>90.31930916204341</v>
      </c>
      <c r="DM76" s="12">
        <f t="shared" si="30"/>
        <v>86.165416160583561</v>
      </c>
      <c r="DN76" s="12">
        <f t="shared" si="31"/>
        <v>82.395466022308298</v>
      </c>
      <c r="DO76" s="12">
        <f t="shared" si="31"/>
        <v>79.004059365522735</v>
      </c>
      <c r="DP76" s="12">
        <f t="shared" si="31"/>
        <v>75.981406914310227</v>
      </c>
      <c r="DQ76" s="12">
        <f t="shared" si="31"/>
        <v>73.313473174281114</v>
      </c>
      <c r="DR76" s="12">
        <f t="shared" si="31"/>
        <v>70.982166248627678</v>
      </c>
      <c r="DS76" s="12">
        <f t="shared" si="31"/>
        <v>68.965570402693217</v>
      </c>
      <c r="DT76" s="12">
        <f t="shared" si="31"/>
        <v>67.238217711382944</v>
      </c>
      <c r="DU76" s="12">
        <f t="shared" si="31"/>
        <v>65.771394934938371</v>
      </c>
      <c r="DV76" s="12">
        <f t="shared" si="31"/>
        <v>64.533481654413492</v>
      </c>
      <c r="DW76" s="12">
        <f t="shared" si="31"/>
        <v>63.490315646128941</v>
      </c>
      <c r="DX76" s="12">
        <f t="shared" si="31"/>
        <v>62.605581470661136</v>
      </c>
      <c r="DY76" s="12">
        <f t="shared" si="31"/>
        <v>61.841218282295614</v>
      </c>
      <c r="DZ76" s="12">
        <f t="shared" si="31"/>
        <v>61.157842915401801</v>
      </c>
      <c r="EA76" s="11">
        <f t="shared" si="31"/>
        <v>60.515184361984382</v>
      </c>
    </row>
    <row r="77" spans="5:131" x14ac:dyDescent="0.3">
      <c r="E77" s="16"/>
      <c r="F77" s="11">
        <f t="shared" si="37"/>
        <v>300</v>
      </c>
      <c r="G77" s="12">
        <f t="shared" si="37"/>
        <v>287.20458331783192</v>
      </c>
      <c r="H77" s="12">
        <f t="shared" si="37"/>
        <v>274.47945650127753</v>
      </c>
      <c r="I77" s="12">
        <f t="shared" si="37"/>
        <v>261.89403216396988</v>
      </c>
      <c r="J77" s="12">
        <f t="shared" si="37"/>
        <v>249.51598121594657</v>
      </c>
      <c r="K77" s="12">
        <f t="shared" si="37"/>
        <v>237.41039374200528</v>
      </c>
      <c r="L77" s="12">
        <f t="shared" si="37"/>
        <v>225.63897720725137</v>
      </c>
      <c r="M77" s="12">
        <f t="shared" si="37"/>
        <v>214.25930321091451</v>
      </c>
      <c r="N77" s="12">
        <f t="shared" si="37"/>
        <v>203.32411301536513</v>
      </c>
      <c r="O77" s="12">
        <f t="shared" si="37"/>
        <v>192.88069089761245</v>
      </c>
      <c r="P77" s="12">
        <f t="shared" si="37"/>
        <v>182.97031304318864</v>
      </c>
      <c r="Q77" s="12">
        <f t="shared" si="37"/>
        <v>173.62777826859929</v>
      </c>
      <c r="R77" s="12">
        <f t="shared" si="36"/>
        <v>164.88102536165582</v>
      </c>
      <c r="S77" s="12">
        <f t="shared" si="36"/>
        <v>156.75084031219728</v>
      </c>
      <c r="T77" s="12">
        <f t="shared" si="36"/>
        <v>149.25065521040031</v>
      </c>
      <c r="U77" s="12">
        <f t="shared" si="36"/>
        <v>142.38643915412516</v>
      </c>
      <c r="V77" s="12">
        <f t="shared" si="36"/>
        <v>136.15668016384512</v>
      </c>
      <c r="W77" s="12">
        <f t="shared" si="36"/>
        <v>130.55245588106158</v>
      </c>
      <c r="X77" s="12">
        <f t="shared" si="36"/>
        <v>125.55758974443728</v>
      </c>
      <c r="Y77" s="12">
        <f t="shared" si="36"/>
        <v>121.14888841078474</v>
      </c>
      <c r="Z77" s="12">
        <f t="shared" si="36"/>
        <v>117.29645542188689</v>
      </c>
      <c r="AA77" s="12">
        <f t="shared" si="36"/>
        <v>113.96407551228971</v>
      </c>
      <c r="AB77" s="12">
        <f t="shared" si="36"/>
        <v>111.10966350062378</v>
      </c>
      <c r="AC77" s="12">
        <f t="shared" si="36"/>
        <v>108.68577139501525</v>
      </c>
      <c r="AD77" s="12">
        <f t="shared" si="36"/>
        <v>106.64014715446095</v>
      </c>
      <c r="AE77" s="12">
        <f t="shared" si="36"/>
        <v>104.91633846201009</v>
      </c>
      <c r="AF77" s="12">
        <f t="shared" si="36"/>
        <v>103.45433485945048</v>
      </c>
      <c r="AG77" s="12">
        <f t="shared" si="35"/>
        <v>102.19124164338537</v>
      </c>
      <c r="AH77" s="12">
        <f t="shared" si="33"/>
        <v>101.06197900608419</v>
      </c>
      <c r="AI77" s="11">
        <f t="shared" si="33"/>
        <v>99.999999999999986</v>
      </c>
      <c r="AK77" s="18"/>
      <c r="AL77" s="11">
        <f t="shared" si="34"/>
        <v>-1076400000</v>
      </c>
      <c r="AM77" s="12">
        <f t="shared" si="26"/>
        <v>-1030490044.9443809</v>
      </c>
      <c r="AN77" s="12">
        <f t="shared" si="26"/>
        <v>-984832289.92658353</v>
      </c>
      <c r="AO77" s="12">
        <f t="shared" si="26"/>
        <v>-939675787.4043237</v>
      </c>
      <c r="AP77" s="12">
        <f t="shared" si="26"/>
        <v>-895263340.60281622</v>
      </c>
      <c r="AQ77" s="12">
        <f t="shared" si="26"/>
        <v>-851828492.746315</v>
      </c>
      <c r="AR77" s="12">
        <f t="shared" si="26"/>
        <v>-809592650.21961784</v>
      </c>
      <c r="AS77" s="12">
        <f t="shared" si="26"/>
        <v>-768762379.92076123</v>
      </c>
      <c r="AT77" s="12">
        <f t="shared" si="26"/>
        <v>-729526917.49913013</v>
      </c>
      <c r="AU77" s="12">
        <f t="shared" si="26"/>
        <v>-692055918.94063342</v>
      </c>
      <c r="AV77" s="12">
        <f t="shared" si="26"/>
        <v>-656497483.19896078</v>
      </c>
      <c r="AW77" s="12">
        <f t="shared" si="26"/>
        <v>-622976468.42773426</v>
      </c>
      <c r="AX77" s="12">
        <f t="shared" si="26"/>
        <v>-591593118.99762106</v>
      </c>
      <c r="AY77" s="12">
        <f t="shared" si="26"/>
        <v>-562422015.04016387</v>
      </c>
      <c r="AZ77" s="12">
        <f t="shared" si="26"/>
        <v>-535511350.8949163</v>
      </c>
      <c r="BA77" s="12">
        <f t="shared" si="26"/>
        <v>-510882543.68500108</v>
      </c>
      <c r="BB77" s="12">
        <f t="shared" si="26"/>
        <v>-488530168.42787629</v>
      </c>
      <c r="BC77" s="12">
        <f t="shared" si="27"/>
        <v>-468422211.70124894</v>
      </c>
      <c r="BD77" s="12">
        <f t="shared" si="27"/>
        <v>-450500632.00304097</v>
      </c>
      <c r="BE77" s="12">
        <f t="shared" si="27"/>
        <v>-434682211.61789554</v>
      </c>
      <c r="BF77" s="12">
        <f t="shared" si="27"/>
        <v>-420859682.05373019</v>
      </c>
      <c r="BG77" s="12">
        <f t="shared" si="27"/>
        <v>-408903102.93809551</v>
      </c>
      <c r="BH77" s="12">
        <f t="shared" si="27"/>
        <v>-398661472.64023811</v>
      </c>
      <c r="BI77" s="12">
        <f t="shared" si="27"/>
        <v>-389964547.7653147</v>
      </c>
      <c r="BJ77" s="12">
        <f t="shared" si="27"/>
        <v>-382624847.99020588</v>
      </c>
      <c r="BK77" s="12">
        <f t="shared" si="27"/>
        <v>-376439822.40169221</v>
      </c>
      <c r="BL77" s="12">
        <f t="shared" si="27"/>
        <v>-371194153.47570825</v>
      </c>
      <c r="BM77" s="12">
        <f t="shared" si="27"/>
        <v>-366662175.01646668</v>
      </c>
      <c r="BN77" s="12">
        <f t="shared" si="27"/>
        <v>-362610380.67383003</v>
      </c>
      <c r="BO77" s="11">
        <f t="shared" si="27"/>
        <v>-358800000</v>
      </c>
      <c r="BQ77" s="16"/>
      <c r="BR77" s="11">
        <f t="shared" si="28"/>
        <v>0.39484815638024295</v>
      </c>
      <c r="BS77" s="12">
        <f t="shared" si="28"/>
        <v>0.39484815638024295</v>
      </c>
      <c r="BT77" s="12">
        <f t="shared" si="28"/>
        <v>0.39484815638024295</v>
      </c>
      <c r="BU77" s="12">
        <f t="shared" si="28"/>
        <v>0.39484815638024295</v>
      </c>
      <c r="BV77" s="12">
        <f t="shared" si="28"/>
        <v>0.39484815638024295</v>
      </c>
      <c r="BW77" s="12">
        <f t="shared" si="28"/>
        <v>0.39484815638024295</v>
      </c>
      <c r="BX77" s="12">
        <f t="shared" si="28"/>
        <v>0.39484815638024295</v>
      </c>
      <c r="BY77" s="12">
        <f t="shared" si="28"/>
        <v>0.39484815638024295</v>
      </c>
      <c r="BZ77" s="12">
        <f t="shared" si="28"/>
        <v>0.39484815638024295</v>
      </c>
      <c r="CA77" s="12">
        <f t="shared" si="28"/>
        <v>0.39484815638024295</v>
      </c>
      <c r="CB77" s="12">
        <f t="shared" si="28"/>
        <v>0.39484815638024295</v>
      </c>
      <c r="CC77" s="12">
        <f t="shared" si="28"/>
        <v>0.39484815638024295</v>
      </c>
      <c r="CD77" s="12">
        <f t="shared" si="28"/>
        <v>0.39484815638024295</v>
      </c>
      <c r="CE77" s="12">
        <f t="shared" si="28"/>
        <v>0.39484815638024295</v>
      </c>
      <c r="CF77" s="12">
        <f t="shared" si="28"/>
        <v>0.39484815638024295</v>
      </c>
      <c r="CG77" s="12">
        <f t="shared" si="28"/>
        <v>0.39484815638024295</v>
      </c>
      <c r="CH77" s="12">
        <f t="shared" si="29"/>
        <v>0.39484815638024295</v>
      </c>
      <c r="CI77" s="12">
        <f t="shared" si="29"/>
        <v>0.39484815638024295</v>
      </c>
      <c r="CJ77" s="12">
        <f t="shared" si="29"/>
        <v>0.39484815638024295</v>
      </c>
      <c r="CK77" s="12">
        <f t="shared" si="29"/>
        <v>0.39484815638024295</v>
      </c>
      <c r="CL77" s="12">
        <f t="shared" si="29"/>
        <v>0.39484815638024295</v>
      </c>
      <c r="CM77" s="12">
        <f t="shared" si="29"/>
        <v>0.39484815638024295</v>
      </c>
      <c r="CN77" s="12">
        <f t="shared" si="29"/>
        <v>0.39484815638024295</v>
      </c>
      <c r="CO77" s="12">
        <f t="shared" si="29"/>
        <v>0.39484815638024295</v>
      </c>
      <c r="CP77" s="12">
        <f t="shared" si="29"/>
        <v>0.39484815638024295</v>
      </c>
      <c r="CQ77" s="12">
        <f t="shared" si="29"/>
        <v>0.39484815638024295</v>
      </c>
      <c r="CR77" s="12">
        <f t="shared" si="29"/>
        <v>0.39484815638024295</v>
      </c>
      <c r="CS77" s="12">
        <f t="shared" si="29"/>
        <v>0.39484815638024295</v>
      </c>
      <c r="CT77" s="12">
        <f t="shared" si="29"/>
        <v>0.39484815638024295</v>
      </c>
      <c r="CU77" s="11">
        <f t="shared" si="29"/>
        <v>0.39484815638024295</v>
      </c>
      <c r="CW77" s="16"/>
      <c r="CX77" s="11">
        <f t="shared" si="30"/>
        <v>181.54555308592711</v>
      </c>
      <c r="CY77" s="12">
        <f t="shared" si="30"/>
        <v>173.80238309083009</v>
      </c>
      <c r="CZ77" s="12">
        <f t="shared" si="30"/>
        <v>166.10174913749699</v>
      </c>
      <c r="DA77" s="12">
        <f t="shared" si="30"/>
        <v>158.4856563970383</v>
      </c>
      <c r="DB77" s="12">
        <f t="shared" si="30"/>
        <v>150.9950560454227</v>
      </c>
      <c r="DC77" s="12">
        <f t="shared" si="30"/>
        <v>143.66933746746693</v>
      </c>
      <c r="DD77" s="12">
        <f t="shared" si="30"/>
        <v>136.5458430494445</v>
      </c>
      <c r="DE77" s="12">
        <f t="shared" si="30"/>
        <v>129.65941235076943</v>
      </c>
      <c r="DF77" s="12">
        <f t="shared" si="30"/>
        <v>123.04196184360005</v>
      </c>
      <c r="DG77" s="12">
        <f t="shared" si="30"/>
        <v>116.72210569534266</v>
      </c>
      <c r="DH77" s="12">
        <f t="shared" si="30"/>
        <v>110.72482226576967</v>
      </c>
      <c r="DI77" s="12">
        <f t="shared" si="30"/>
        <v>105.07117012284525</v>
      </c>
      <c r="DJ77" s="12">
        <f t="shared" si="30"/>
        <v>99.778056475521936</v>
      </c>
      <c r="DK77" s="12">
        <f t="shared" si="30"/>
        <v>94.858060003872325</v>
      </c>
      <c r="DL77" s="12">
        <f t="shared" si="30"/>
        <v>90.31930916203045</v>
      </c>
      <c r="DM77" s="12">
        <f t="shared" si="30"/>
        <v>86.165416160571198</v>
      </c>
      <c r="DN77" s="12">
        <f t="shared" si="31"/>
        <v>82.395466022296475</v>
      </c>
      <c r="DO77" s="12">
        <f t="shared" si="31"/>
        <v>79.004059365511409</v>
      </c>
      <c r="DP77" s="12">
        <f t="shared" si="31"/>
        <v>75.981406914299328</v>
      </c>
      <c r="DQ77" s="12">
        <f t="shared" si="31"/>
        <v>73.313473174270598</v>
      </c>
      <c r="DR77" s="12">
        <f t="shared" si="31"/>
        <v>70.982166248617503</v>
      </c>
      <c r="DS77" s="12">
        <f t="shared" si="31"/>
        <v>68.965570402683326</v>
      </c>
      <c r="DT77" s="12">
        <f t="shared" si="31"/>
        <v>67.238217711373309</v>
      </c>
      <c r="DU77" s="12">
        <f t="shared" si="31"/>
        <v>65.771394934928935</v>
      </c>
      <c r="DV77" s="12">
        <f t="shared" si="31"/>
        <v>64.533481654404241</v>
      </c>
      <c r="DW77" s="12">
        <f t="shared" si="31"/>
        <v>63.490315646119832</v>
      </c>
      <c r="DX77" s="12">
        <f t="shared" si="31"/>
        <v>62.605581470652155</v>
      </c>
      <c r="DY77" s="12">
        <f t="shared" si="31"/>
        <v>61.841218282286746</v>
      </c>
      <c r="DZ77" s="12">
        <f t="shared" si="31"/>
        <v>61.157842915393026</v>
      </c>
      <c r="EA77" s="11">
        <f t="shared" si="31"/>
        <v>60.515184361975692</v>
      </c>
    </row>
    <row r="78" spans="5:131" x14ac:dyDescent="0.3">
      <c r="E78" s="16"/>
      <c r="F78" s="11">
        <f t="shared" si="37"/>
        <v>300</v>
      </c>
      <c r="G78" s="12">
        <f t="shared" si="37"/>
        <v>287.20458331783192</v>
      </c>
      <c r="H78" s="12">
        <f t="shared" si="37"/>
        <v>274.47945650127758</v>
      </c>
      <c r="I78" s="12">
        <f t="shared" si="37"/>
        <v>261.89403216396988</v>
      </c>
      <c r="J78" s="12">
        <f t="shared" si="37"/>
        <v>249.51598121594662</v>
      </c>
      <c r="K78" s="12">
        <f t="shared" si="37"/>
        <v>237.41039374200534</v>
      </c>
      <c r="L78" s="12">
        <f t="shared" si="37"/>
        <v>225.6389772072514</v>
      </c>
      <c r="M78" s="12">
        <f t="shared" si="37"/>
        <v>214.25930321091454</v>
      </c>
      <c r="N78" s="12">
        <f t="shared" si="37"/>
        <v>203.32411301536513</v>
      </c>
      <c r="O78" s="12">
        <f t="shared" si="37"/>
        <v>192.88069089761245</v>
      </c>
      <c r="P78" s="12">
        <f t="shared" si="37"/>
        <v>182.97031304318864</v>
      </c>
      <c r="Q78" s="12">
        <f t="shared" si="37"/>
        <v>173.62777826859929</v>
      </c>
      <c r="R78" s="12">
        <f t="shared" si="36"/>
        <v>164.88102536165587</v>
      </c>
      <c r="S78" s="12">
        <f t="shared" si="36"/>
        <v>156.75084031219731</v>
      </c>
      <c r="T78" s="12">
        <f t="shared" si="36"/>
        <v>149.25065521040034</v>
      </c>
      <c r="U78" s="12">
        <f t="shared" si="36"/>
        <v>142.38643915412518</v>
      </c>
      <c r="V78" s="12">
        <f t="shared" si="36"/>
        <v>136.15668016384512</v>
      </c>
      <c r="W78" s="12">
        <f t="shared" si="36"/>
        <v>130.55245588106158</v>
      </c>
      <c r="X78" s="12">
        <f t="shared" si="36"/>
        <v>125.55758974443731</v>
      </c>
      <c r="Y78" s="12">
        <f t="shared" si="36"/>
        <v>121.14888841078475</v>
      </c>
      <c r="Z78" s="12">
        <f t="shared" si="36"/>
        <v>117.29645542188692</v>
      </c>
      <c r="AA78" s="12">
        <f t="shared" si="36"/>
        <v>113.96407551228972</v>
      </c>
      <c r="AB78" s="12">
        <f t="shared" si="36"/>
        <v>111.10966350062378</v>
      </c>
      <c r="AC78" s="12">
        <f t="shared" si="36"/>
        <v>108.68577139501528</v>
      </c>
      <c r="AD78" s="12">
        <f t="shared" si="36"/>
        <v>106.64014715446098</v>
      </c>
      <c r="AE78" s="12">
        <f t="shared" si="36"/>
        <v>104.91633846201012</v>
      </c>
      <c r="AF78" s="12">
        <f t="shared" si="36"/>
        <v>103.45433485945048</v>
      </c>
      <c r="AG78" s="12">
        <f t="shared" si="35"/>
        <v>102.19124164338537</v>
      </c>
      <c r="AH78" s="12">
        <f t="shared" si="33"/>
        <v>101.0619790060842</v>
      </c>
      <c r="AI78" s="11">
        <f t="shared" si="33"/>
        <v>100</v>
      </c>
      <c r="AK78" s="18"/>
      <c r="AL78" s="11">
        <f t="shared" si="34"/>
        <v>-1076400000</v>
      </c>
      <c r="AM78" s="12">
        <f t="shared" si="26"/>
        <v>-1030490044.9443809</v>
      </c>
      <c r="AN78" s="12">
        <f t="shared" si="26"/>
        <v>-984832289.92658377</v>
      </c>
      <c r="AO78" s="12">
        <f t="shared" si="26"/>
        <v>-939675787.40432394</v>
      </c>
      <c r="AP78" s="12">
        <f t="shared" si="26"/>
        <v>-895263340.60281634</v>
      </c>
      <c r="AQ78" s="12">
        <f t="shared" si="26"/>
        <v>-851828492.74631512</v>
      </c>
      <c r="AR78" s="12">
        <f t="shared" si="26"/>
        <v>-809592650.21961808</v>
      </c>
      <c r="AS78" s="12">
        <f t="shared" si="26"/>
        <v>-768762379.92076135</v>
      </c>
      <c r="AT78" s="12">
        <f t="shared" si="26"/>
        <v>-729526917.49913013</v>
      </c>
      <c r="AU78" s="12">
        <f t="shared" si="26"/>
        <v>-692055918.94063342</v>
      </c>
      <c r="AV78" s="12">
        <f t="shared" si="26"/>
        <v>-656497483.19896078</v>
      </c>
      <c r="AW78" s="12">
        <f t="shared" si="26"/>
        <v>-622976468.42773426</v>
      </c>
      <c r="AX78" s="12">
        <f t="shared" si="26"/>
        <v>-591593118.99762118</v>
      </c>
      <c r="AY78" s="12">
        <f t="shared" si="26"/>
        <v>-562422015.04016399</v>
      </c>
      <c r="AZ78" s="12">
        <f t="shared" si="26"/>
        <v>-535511350.89491642</v>
      </c>
      <c r="BA78" s="12">
        <f t="shared" si="26"/>
        <v>-510882543.68500108</v>
      </c>
      <c r="BB78" s="12">
        <f t="shared" si="26"/>
        <v>-488530168.42787629</v>
      </c>
      <c r="BC78" s="12">
        <f t="shared" si="27"/>
        <v>-468422211.70124894</v>
      </c>
      <c r="BD78" s="12">
        <f t="shared" si="27"/>
        <v>-450500632.00304109</v>
      </c>
      <c r="BE78" s="12">
        <f t="shared" si="27"/>
        <v>-434682211.6178956</v>
      </c>
      <c r="BF78" s="12">
        <f t="shared" si="27"/>
        <v>-420859682.05373019</v>
      </c>
      <c r="BG78" s="12">
        <f t="shared" si="27"/>
        <v>-408903102.93809551</v>
      </c>
      <c r="BH78" s="12">
        <f t="shared" si="27"/>
        <v>-398661472.64023811</v>
      </c>
      <c r="BI78" s="12">
        <f t="shared" si="27"/>
        <v>-389964547.76531482</v>
      </c>
      <c r="BJ78" s="12">
        <f t="shared" si="27"/>
        <v>-382624847.990206</v>
      </c>
      <c r="BK78" s="12">
        <f t="shared" si="27"/>
        <v>-376439822.40169227</v>
      </c>
      <c r="BL78" s="12">
        <f t="shared" si="27"/>
        <v>-371194153.47570831</v>
      </c>
      <c r="BM78" s="12">
        <f t="shared" si="27"/>
        <v>-366662175.01646668</v>
      </c>
      <c r="BN78" s="12">
        <f t="shared" si="27"/>
        <v>-362610380.67383009</v>
      </c>
      <c r="BO78" s="11">
        <f t="shared" si="27"/>
        <v>-358800000</v>
      </c>
      <c r="BQ78" s="16"/>
      <c r="BR78" s="11">
        <f t="shared" si="28"/>
        <v>0.39484815638079979</v>
      </c>
      <c r="BS78" s="12">
        <f t="shared" si="28"/>
        <v>0.39484815638079979</v>
      </c>
      <c r="BT78" s="12">
        <f t="shared" si="28"/>
        <v>0.39484815638079979</v>
      </c>
      <c r="BU78" s="12">
        <f t="shared" si="28"/>
        <v>0.39484815638079979</v>
      </c>
      <c r="BV78" s="12">
        <f t="shared" si="28"/>
        <v>0.39484815638079979</v>
      </c>
      <c r="BW78" s="12">
        <f t="shared" si="28"/>
        <v>0.39484815638079979</v>
      </c>
      <c r="BX78" s="12">
        <f t="shared" si="28"/>
        <v>0.39484815638079979</v>
      </c>
      <c r="BY78" s="12">
        <f t="shared" si="28"/>
        <v>0.39484815638079979</v>
      </c>
      <c r="BZ78" s="12">
        <f t="shared" si="28"/>
        <v>0.39484815638079979</v>
      </c>
      <c r="CA78" s="12">
        <f t="shared" si="28"/>
        <v>0.39484815638079979</v>
      </c>
      <c r="CB78" s="12">
        <f t="shared" si="28"/>
        <v>0.39484815638079979</v>
      </c>
      <c r="CC78" s="12">
        <f t="shared" si="28"/>
        <v>0.39484815638079979</v>
      </c>
      <c r="CD78" s="12">
        <f t="shared" si="28"/>
        <v>0.39484815638079979</v>
      </c>
      <c r="CE78" s="12">
        <f t="shared" si="28"/>
        <v>0.39484815638079979</v>
      </c>
      <c r="CF78" s="12">
        <f t="shared" si="28"/>
        <v>0.39484815638079979</v>
      </c>
      <c r="CG78" s="12">
        <f t="shared" si="28"/>
        <v>0.39484815638079979</v>
      </c>
      <c r="CH78" s="12">
        <f t="shared" si="29"/>
        <v>0.39484815638079979</v>
      </c>
      <c r="CI78" s="12">
        <f t="shared" si="29"/>
        <v>0.39484815638079979</v>
      </c>
      <c r="CJ78" s="12">
        <f t="shared" si="29"/>
        <v>0.39484815638079979</v>
      </c>
      <c r="CK78" s="12">
        <f t="shared" si="29"/>
        <v>0.39484815638079979</v>
      </c>
      <c r="CL78" s="12">
        <f t="shared" si="29"/>
        <v>0.39484815638079979</v>
      </c>
      <c r="CM78" s="12">
        <f t="shared" si="29"/>
        <v>0.39484815638079979</v>
      </c>
      <c r="CN78" s="12">
        <f t="shared" si="29"/>
        <v>0.39484815638079979</v>
      </c>
      <c r="CO78" s="12">
        <f t="shared" si="29"/>
        <v>0.39484815638079979</v>
      </c>
      <c r="CP78" s="12">
        <f t="shared" si="29"/>
        <v>0.39484815638079979</v>
      </c>
      <c r="CQ78" s="12">
        <f t="shared" si="29"/>
        <v>0.39484815638079979</v>
      </c>
      <c r="CR78" s="12">
        <f t="shared" si="29"/>
        <v>0.39484815638079979</v>
      </c>
      <c r="CS78" s="12">
        <f t="shared" si="29"/>
        <v>0.39484815638079979</v>
      </c>
      <c r="CT78" s="12">
        <f t="shared" si="29"/>
        <v>0.39484815638079979</v>
      </c>
      <c r="CU78" s="11">
        <f t="shared" si="29"/>
        <v>0.39484815638079979</v>
      </c>
      <c r="CW78" s="16"/>
      <c r="CX78" s="11">
        <f t="shared" si="30"/>
        <v>181.54555308576008</v>
      </c>
      <c r="CY78" s="12">
        <f t="shared" si="30"/>
        <v>173.80238309067019</v>
      </c>
      <c r="CZ78" s="12">
        <f t="shared" si="30"/>
        <v>166.1017491373442</v>
      </c>
      <c r="DA78" s="12">
        <f t="shared" si="30"/>
        <v>158.48565639689252</v>
      </c>
      <c r="DB78" s="12">
        <f t="shared" si="30"/>
        <v>150.99505604528383</v>
      </c>
      <c r="DC78" s="12">
        <f t="shared" si="30"/>
        <v>143.6693374673348</v>
      </c>
      <c r="DD78" s="12">
        <f t="shared" si="30"/>
        <v>136.5458430493189</v>
      </c>
      <c r="DE78" s="12">
        <f t="shared" si="30"/>
        <v>129.65941235065017</v>
      </c>
      <c r="DF78" s="12">
        <f t="shared" si="30"/>
        <v>123.04196184348685</v>
      </c>
      <c r="DG78" s="12">
        <f t="shared" si="30"/>
        <v>116.72210569523529</v>
      </c>
      <c r="DH78" s="12">
        <f t="shared" si="30"/>
        <v>110.72482226566781</v>
      </c>
      <c r="DI78" s="12">
        <f t="shared" si="30"/>
        <v>105.07117012274858</v>
      </c>
      <c r="DJ78" s="12">
        <f t="shared" si="30"/>
        <v>99.778056475430162</v>
      </c>
      <c r="DK78" s="12">
        <f t="shared" si="30"/>
        <v>94.85806000378507</v>
      </c>
      <c r="DL78" s="12">
        <f t="shared" si="30"/>
        <v>90.319309161947373</v>
      </c>
      <c r="DM78" s="12">
        <f t="shared" si="30"/>
        <v>86.16541616049193</v>
      </c>
      <c r="DN78" s="12">
        <f t="shared" si="31"/>
        <v>82.395466022220674</v>
      </c>
      <c r="DO78" s="12">
        <f t="shared" si="31"/>
        <v>79.004059365438721</v>
      </c>
      <c r="DP78" s="12">
        <f t="shared" si="31"/>
        <v>75.981406914229439</v>
      </c>
      <c r="DQ78" s="12">
        <f t="shared" si="31"/>
        <v>73.313473174203153</v>
      </c>
      <c r="DR78" s="12">
        <f t="shared" si="31"/>
        <v>70.982166248552204</v>
      </c>
      <c r="DS78" s="12">
        <f t="shared" si="31"/>
        <v>68.965570402619875</v>
      </c>
      <c r="DT78" s="12">
        <f t="shared" si="31"/>
        <v>67.238217711311449</v>
      </c>
      <c r="DU78" s="12">
        <f t="shared" si="31"/>
        <v>65.771394934868439</v>
      </c>
      <c r="DV78" s="12">
        <f t="shared" si="31"/>
        <v>64.533481654344882</v>
      </c>
      <c r="DW78" s="12">
        <f t="shared" si="31"/>
        <v>63.490315646061433</v>
      </c>
      <c r="DX78" s="12">
        <f t="shared" si="31"/>
        <v>62.605581470594558</v>
      </c>
      <c r="DY78" s="12">
        <f t="shared" si="31"/>
        <v>61.841218282229846</v>
      </c>
      <c r="DZ78" s="12">
        <f t="shared" si="31"/>
        <v>61.157842915336765</v>
      </c>
      <c r="EA78" s="11">
        <f t="shared" si="31"/>
        <v>60.515184361920028</v>
      </c>
    </row>
    <row r="79" spans="5:131" x14ac:dyDescent="0.3">
      <c r="E79" s="16"/>
      <c r="F79" s="11">
        <f t="shared" si="37"/>
        <v>300</v>
      </c>
      <c r="G79" s="12">
        <f t="shared" si="37"/>
        <v>287.20458331783198</v>
      </c>
      <c r="H79" s="12">
        <f t="shared" si="37"/>
        <v>274.47945650127758</v>
      </c>
      <c r="I79" s="12">
        <f t="shared" si="37"/>
        <v>261.89403216396988</v>
      </c>
      <c r="J79" s="12">
        <f t="shared" si="37"/>
        <v>249.51598121594662</v>
      </c>
      <c r="K79" s="12">
        <f t="shared" si="37"/>
        <v>237.41039374200537</v>
      </c>
      <c r="L79" s="12">
        <f t="shared" si="37"/>
        <v>225.63897720725146</v>
      </c>
      <c r="M79" s="12">
        <f t="shared" si="37"/>
        <v>214.25930321091457</v>
      </c>
      <c r="N79" s="12">
        <f t="shared" si="37"/>
        <v>203.32411301536513</v>
      </c>
      <c r="O79" s="12">
        <f t="shared" si="37"/>
        <v>192.88069089761245</v>
      </c>
      <c r="P79" s="12">
        <f t="shared" si="37"/>
        <v>182.97031304318864</v>
      </c>
      <c r="Q79" s="12">
        <f t="shared" si="37"/>
        <v>173.62777826859929</v>
      </c>
      <c r="R79" s="12">
        <f t="shared" si="36"/>
        <v>164.88102536165587</v>
      </c>
      <c r="S79" s="12">
        <f t="shared" si="36"/>
        <v>156.75084031219734</v>
      </c>
      <c r="T79" s="12">
        <f t="shared" si="36"/>
        <v>149.25065521040034</v>
      </c>
      <c r="U79" s="12">
        <f t="shared" si="36"/>
        <v>142.38643915412518</v>
      </c>
      <c r="V79" s="12">
        <f t="shared" si="36"/>
        <v>136.15668016384512</v>
      </c>
      <c r="W79" s="12">
        <f t="shared" si="36"/>
        <v>130.55245588106158</v>
      </c>
      <c r="X79" s="12">
        <f t="shared" si="36"/>
        <v>125.55758974443732</v>
      </c>
      <c r="Y79" s="12">
        <f t="shared" si="36"/>
        <v>121.14888841078475</v>
      </c>
      <c r="Z79" s="12">
        <f t="shared" si="36"/>
        <v>117.29645542188692</v>
      </c>
      <c r="AA79" s="12">
        <f t="shared" si="36"/>
        <v>113.96407551228972</v>
      </c>
      <c r="AB79" s="12">
        <f t="shared" si="36"/>
        <v>111.10966350062378</v>
      </c>
      <c r="AC79" s="12">
        <f t="shared" si="36"/>
        <v>108.68577139501528</v>
      </c>
      <c r="AD79" s="12">
        <f t="shared" si="36"/>
        <v>106.64014715446098</v>
      </c>
      <c r="AE79" s="12">
        <f t="shared" si="36"/>
        <v>104.91633846201013</v>
      </c>
      <c r="AF79" s="12">
        <f t="shared" si="36"/>
        <v>103.45433485945048</v>
      </c>
      <c r="AG79" s="12">
        <f t="shared" si="35"/>
        <v>102.19124164338538</v>
      </c>
      <c r="AH79" s="12">
        <f t="shared" si="33"/>
        <v>101.0619790060842</v>
      </c>
      <c r="AI79" s="11">
        <f t="shared" si="33"/>
        <v>100</v>
      </c>
      <c r="AK79" s="18"/>
      <c r="AL79" s="11">
        <f t="shared" si="34"/>
        <v>-1076400000</v>
      </c>
      <c r="AM79" s="12">
        <f t="shared" si="26"/>
        <v>-1030490044.9443809</v>
      </c>
      <c r="AN79" s="12">
        <f t="shared" si="26"/>
        <v>-984832289.92658377</v>
      </c>
      <c r="AO79" s="12">
        <f t="shared" si="26"/>
        <v>-939675787.40432394</v>
      </c>
      <c r="AP79" s="12">
        <f t="shared" si="26"/>
        <v>-895263340.60281646</v>
      </c>
      <c r="AQ79" s="12">
        <f t="shared" si="26"/>
        <v>-851828492.74631512</v>
      </c>
      <c r="AR79" s="12">
        <f t="shared" si="26"/>
        <v>-809592650.21961808</v>
      </c>
      <c r="AS79" s="12">
        <f t="shared" si="26"/>
        <v>-768762379.92076135</v>
      </c>
      <c r="AT79" s="12">
        <f t="shared" si="26"/>
        <v>-729526917.49913013</v>
      </c>
      <c r="AU79" s="12">
        <f t="shared" si="26"/>
        <v>-692055918.94063342</v>
      </c>
      <c r="AV79" s="12">
        <f t="shared" si="26"/>
        <v>-656497483.19896078</v>
      </c>
      <c r="AW79" s="12">
        <f t="shared" si="26"/>
        <v>-622976468.42773426</v>
      </c>
      <c r="AX79" s="12">
        <f t="shared" si="26"/>
        <v>-591593118.99762118</v>
      </c>
      <c r="AY79" s="12">
        <f t="shared" si="26"/>
        <v>-562422015.04016399</v>
      </c>
      <c r="AZ79" s="12">
        <f t="shared" si="26"/>
        <v>-535511350.89491642</v>
      </c>
      <c r="BA79" s="12">
        <f t="shared" si="26"/>
        <v>-510882543.68500108</v>
      </c>
      <c r="BB79" s="12">
        <f t="shared" ref="BB79:BO93" si="38">-($C$10*$C$9*V48)/($C$7)</f>
        <v>-488530168.42787629</v>
      </c>
      <c r="BC79" s="12">
        <f t="shared" si="27"/>
        <v>-468422211.70124894</v>
      </c>
      <c r="BD79" s="12">
        <f t="shared" si="27"/>
        <v>-450500632.00304109</v>
      </c>
      <c r="BE79" s="12">
        <f t="shared" si="27"/>
        <v>-434682211.6178956</v>
      </c>
      <c r="BF79" s="12">
        <f t="shared" si="27"/>
        <v>-420859682.05373019</v>
      </c>
      <c r="BG79" s="12">
        <f t="shared" si="27"/>
        <v>-408903102.93809551</v>
      </c>
      <c r="BH79" s="12">
        <f t="shared" si="27"/>
        <v>-398661472.64023811</v>
      </c>
      <c r="BI79" s="12">
        <f t="shared" si="27"/>
        <v>-389964547.76531482</v>
      </c>
      <c r="BJ79" s="12">
        <f t="shared" si="27"/>
        <v>-382624847.990206</v>
      </c>
      <c r="BK79" s="12">
        <f t="shared" si="27"/>
        <v>-376439822.40169227</v>
      </c>
      <c r="BL79" s="12">
        <f t="shared" si="27"/>
        <v>-371194153.47570831</v>
      </c>
      <c r="BM79" s="12">
        <f t="shared" si="27"/>
        <v>-366662175.01646668</v>
      </c>
      <c r="BN79" s="12">
        <f t="shared" si="27"/>
        <v>-362610380.67383009</v>
      </c>
      <c r="BO79" s="11">
        <f t="shared" si="27"/>
        <v>-358800000</v>
      </c>
      <c r="BQ79" s="16"/>
      <c r="BR79" s="11">
        <f t="shared" si="28"/>
        <v>0.3948481563843711</v>
      </c>
      <c r="BS79" s="12">
        <f t="shared" si="28"/>
        <v>0.3948481563843711</v>
      </c>
      <c r="BT79" s="12">
        <f t="shared" si="28"/>
        <v>0.3948481563843711</v>
      </c>
      <c r="BU79" s="12">
        <f t="shared" si="28"/>
        <v>0.3948481563843711</v>
      </c>
      <c r="BV79" s="12">
        <f t="shared" si="28"/>
        <v>0.3948481563843711</v>
      </c>
      <c r="BW79" s="12">
        <f t="shared" si="28"/>
        <v>0.3948481563843711</v>
      </c>
      <c r="BX79" s="12">
        <f t="shared" si="28"/>
        <v>0.3948481563843711</v>
      </c>
      <c r="BY79" s="12">
        <f t="shared" si="28"/>
        <v>0.3948481563843711</v>
      </c>
      <c r="BZ79" s="12">
        <f t="shared" si="28"/>
        <v>0.3948481563843711</v>
      </c>
      <c r="CA79" s="12">
        <f t="shared" si="28"/>
        <v>0.3948481563843711</v>
      </c>
      <c r="CB79" s="12">
        <f t="shared" si="28"/>
        <v>0.3948481563843711</v>
      </c>
      <c r="CC79" s="12">
        <f t="shared" si="28"/>
        <v>0.3948481563843711</v>
      </c>
      <c r="CD79" s="12">
        <f t="shared" si="28"/>
        <v>0.3948481563843711</v>
      </c>
      <c r="CE79" s="12">
        <f t="shared" si="28"/>
        <v>0.3948481563843711</v>
      </c>
      <c r="CF79" s="12">
        <f t="shared" si="28"/>
        <v>0.3948481563843711</v>
      </c>
      <c r="CG79" s="12">
        <f t="shared" ref="CG79:CJ92" si="39">$C$20/($C$21-$C$22*CG80)</f>
        <v>0.3948481563843711</v>
      </c>
      <c r="CH79" s="12">
        <f t="shared" si="29"/>
        <v>0.3948481563843711</v>
      </c>
      <c r="CI79" s="12">
        <f t="shared" si="29"/>
        <v>0.3948481563843711</v>
      </c>
      <c r="CJ79" s="12">
        <f t="shared" si="29"/>
        <v>0.3948481563843711</v>
      </c>
      <c r="CK79" s="12">
        <f t="shared" si="29"/>
        <v>0.3948481563843711</v>
      </c>
      <c r="CL79" s="12">
        <f t="shared" si="29"/>
        <v>0.3948481563843711</v>
      </c>
      <c r="CM79" s="12">
        <f t="shared" si="29"/>
        <v>0.3948481563843711</v>
      </c>
      <c r="CN79" s="12">
        <f t="shared" si="29"/>
        <v>0.3948481563843711</v>
      </c>
      <c r="CO79" s="12">
        <f t="shared" si="29"/>
        <v>0.3948481563843711</v>
      </c>
      <c r="CP79" s="12">
        <f t="shared" si="29"/>
        <v>0.3948481563843711</v>
      </c>
      <c r="CQ79" s="12">
        <f t="shared" si="29"/>
        <v>0.3948481563843711</v>
      </c>
      <c r="CR79" s="12">
        <f t="shared" si="29"/>
        <v>0.3948481563843711</v>
      </c>
      <c r="CS79" s="12">
        <f t="shared" si="29"/>
        <v>0.3948481563843711</v>
      </c>
      <c r="CT79" s="12">
        <f t="shared" si="29"/>
        <v>0.3948481563843711</v>
      </c>
      <c r="CU79" s="11">
        <f t="shared" si="29"/>
        <v>0.3948481563843711</v>
      </c>
      <c r="CW79" s="16"/>
      <c r="CX79" s="11">
        <f t="shared" si="30"/>
        <v>181.54555308468869</v>
      </c>
      <c r="CY79" s="12">
        <f t="shared" si="30"/>
        <v>173.80238308964451</v>
      </c>
      <c r="CZ79" s="12">
        <f t="shared" si="30"/>
        <v>166.10174913636394</v>
      </c>
      <c r="DA79" s="12">
        <f t="shared" si="30"/>
        <v>158.48565639595722</v>
      </c>
      <c r="DB79" s="12">
        <f t="shared" si="30"/>
        <v>150.99505604439273</v>
      </c>
      <c r="DC79" s="12">
        <f t="shared" si="30"/>
        <v>143.66933746648692</v>
      </c>
      <c r="DD79" s="12">
        <f t="shared" si="30"/>
        <v>136.54584304851309</v>
      </c>
      <c r="DE79" s="12">
        <f t="shared" si="30"/>
        <v>129.659412349885</v>
      </c>
      <c r="DF79" s="12">
        <f t="shared" si="30"/>
        <v>123.04196184276071</v>
      </c>
      <c r="DG79" s="12">
        <f t="shared" si="30"/>
        <v>116.72210569454643</v>
      </c>
      <c r="DH79" s="12">
        <f t="shared" si="30"/>
        <v>110.72482226501437</v>
      </c>
      <c r="DI79" s="12">
        <f t="shared" si="30"/>
        <v>105.07117012212851</v>
      </c>
      <c r="DJ79" s="12">
        <f t="shared" si="30"/>
        <v>99.778056474841307</v>
      </c>
      <c r="DK79" s="12">
        <f t="shared" si="30"/>
        <v>94.858060003225262</v>
      </c>
      <c r="DL79" s="12">
        <f t="shared" si="30"/>
        <v>90.319309161414338</v>
      </c>
      <c r="DM79" s="12">
        <f t="shared" ref="DM79:DQ92" si="40">($C$22*DM80-BA79)/($C$21-$C$22*CG80)</f>
        <v>86.165416159983423</v>
      </c>
      <c r="DN79" s="12">
        <f t="shared" si="31"/>
        <v>82.395466021734407</v>
      </c>
      <c r="DO79" s="12">
        <f t="shared" si="31"/>
        <v>79.004059364972477</v>
      </c>
      <c r="DP79" s="12">
        <f t="shared" si="31"/>
        <v>75.981406913781029</v>
      </c>
      <c r="DQ79" s="12">
        <f t="shared" si="31"/>
        <v>73.31347317377049</v>
      </c>
      <c r="DR79" s="12">
        <f t="shared" si="31"/>
        <v>70.982166248133296</v>
      </c>
      <c r="DS79" s="12">
        <f t="shared" si="31"/>
        <v>68.965570402212876</v>
      </c>
      <c r="DT79" s="12">
        <f t="shared" si="31"/>
        <v>67.23821771091464</v>
      </c>
      <c r="DU79" s="12">
        <f t="shared" si="31"/>
        <v>65.771394934480284</v>
      </c>
      <c r="DV79" s="12">
        <f t="shared" si="31"/>
        <v>64.533481653964031</v>
      </c>
      <c r="DW79" s="12">
        <f t="shared" si="31"/>
        <v>63.490315645686749</v>
      </c>
      <c r="DX79" s="12">
        <f t="shared" si="31"/>
        <v>62.605581470225083</v>
      </c>
      <c r="DY79" s="12">
        <f t="shared" si="31"/>
        <v>61.84121828186489</v>
      </c>
      <c r="DZ79" s="12">
        <f t="shared" si="31"/>
        <v>61.157842914975838</v>
      </c>
      <c r="EA79" s="11">
        <f t="shared" si="31"/>
        <v>60.515184361562895</v>
      </c>
    </row>
    <row r="80" spans="5:131" x14ac:dyDescent="0.3">
      <c r="E80" s="16"/>
      <c r="F80" s="11">
        <f t="shared" si="37"/>
        <v>300</v>
      </c>
      <c r="G80" s="12">
        <f t="shared" si="37"/>
        <v>287.20458331783198</v>
      </c>
      <c r="H80" s="12">
        <f t="shared" si="37"/>
        <v>274.47945650127758</v>
      </c>
      <c r="I80" s="12">
        <f t="shared" si="37"/>
        <v>261.89403216396988</v>
      </c>
      <c r="J80" s="12">
        <f t="shared" si="37"/>
        <v>249.51598121594662</v>
      </c>
      <c r="K80" s="12">
        <f t="shared" si="37"/>
        <v>237.41039374200534</v>
      </c>
      <c r="L80" s="12">
        <f t="shared" si="37"/>
        <v>225.63897720725146</v>
      </c>
      <c r="M80" s="12">
        <f t="shared" si="37"/>
        <v>214.25930321091454</v>
      </c>
      <c r="N80" s="12">
        <f t="shared" si="37"/>
        <v>203.32411301536513</v>
      </c>
      <c r="O80" s="12">
        <f t="shared" si="37"/>
        <v>192.88069089761245</v>
      </c>
      <c r="P80" s="12">
        <f t="shared" si="37"/>
        <v>182.97031304318864</v>
      </c>
      <c r="Q80" s="12">
        <f t="shared" si="37"/>
        <v>173.62777826859931</v>
      </c>
      <c r="R80" s="12">
        <f t="shared" si="36"/>
        <v>164.88102536165584</v>
      </c>
      <c r="S80" s="12">
        <f t="shared" si="36"/>
        <v>156.75084031219734</v>
      </c>
      <c r="T80" s="12">
        <f t="shared" si="36"/>
        <v>149.25065521040034</v>
      </c>
      <c r="U80" s="12">
        <f t="shared" si="36"/>
        <v>142.38643915412518</v>
      </c>
      <c r="V80" s="12">
        <f t="shared" si="36"/>
        <v>136.15668016384512</v>
      </c>
      <c r="W80" s="12">
        <f t="shared" si="36"/>
        <v>130.55245588106158</v>
      </c>
      <c r="X80" s="12">
        <f t="shared" si="36"/>
        <v>125.55758974443731</v>
      </c>
      <c r="Y80" s="12">
        <f t="shared" si="36"/>
        <v>121.14888841078474</v>
      </c>
      <c r="Z80" s="12">
        <f t="shared" si="36"/>
        <v>117.29645542188692</v>
      </c>
      <c r="AA80" s="12">
        <f t="shared" si="36"/>
        <v>113.96407551228972</v>
      </c>
      <c r="AB80" s="12">
        <f t="shared" si="36"/>
        <v>111.10966350062378</v>
      </c>
      <c r="AC80" s="12">
        <f t="shared" si="36"/>
        <v>108.68577139501528</v>
      </c>
      <c r="AD80" s="12">
        <f t="shared" si="36"/>
        <v>106.64014715446098</v>
      </c>
      <c r="AE80" s="12">
        <f t="shared" si="36"/>
        <v>104.91633846201013</v>
      </c>
      <c r="AF80" s="12">
        <f t="shared" si="36"/>
        <v>103.45433485945048</v>
      </c>
      <c r="AG80" s="12">
        <f t="shared" si="35"/>
        <v>102.19124164338538</v>
      </c>
      <c r="AH80" s="12">
        <f t="shared" si="33"/>
        <v>101.0619790060842</v>
      </c>
      <c r="AI80" s="11">
        <f t="shared" si="33"/>
        <v>100</v>
      </c>
      <c r="AK80" s="18"/>
      <c r="AL80" s="11">
        <f t="shared" si="34"/>
        <v>-1076400000</v>
      </c>
      <c r="AM80" s="12">
        <f t="shared" si="34"/>
        <v>-1030490044.9443809</v>
      </c>
      <c r="AN80" s="12">
        <f t="shared" si="34"/>
        <v>-984832289.92658377</v>
      </c>
      <c r="AO80" s="12">
        <f t="shared" si="34"/>
        <v>-939675787.40432394</v>
      </c>
      <c r="AP80" s="12">
        <f t="shared" si="34"/>
        <v>-895263340.60281634</v>
      </c>
      <c r="AQ80" s="12">
        <f t="shared" si="34"/>
        <v>-851828492.74631512</v>
      </c>
      <c r="AR80" s="12">
        <f t="shared" si="34"/>
        <v>-809592650.21961808</v>
      </c>
      <c r="AS80" s="12">
        <f t="shared" si="34"/>
        <v>-768762379.92076135</v>
      </c>
      <c r="AT80" s="12">
        <f t="shared" si="34"/>
        <v>-729526917.49913013</v>
      </c>
      <c r="AU80" s="12">
        <f t="shared" si="34"/>
        <v>-692055918.94063342</v>
      </c>
      <c r="AV80" s="12">
        <f t="shared" si="34"/>
        <v>-656497483.19896078</v>
      </c>
      <c r="AW80" s="12">
        <f t="shared" si="34"/>
        <v>-622976468.42773426</v>
      </c>
      <c r="AX80" s="12">
        <f t="shared" si="34"/>
        <v>-591593118.99762118</v>
      </c>
      <c r="AY80" s="12">
        <f t="shared" si="34"/>
        <v>-562422015.04016399</v>
      </c>
      <c r="AZ80" s="12">
        <f t="shared" si="34"/>
        <v>-535511350.89491642</v>
      </c>
      <c r="BA80" s="12">
        <f t="shared" si="34"/>
        <v>-510882543.68500108</v>
      </c>
      <c r="BB80" s="12">
        <f t="shared" si="38"/>
        <v>-488530168.42787629</v>
      </c>
      <c r="BC80" s="12">
        <f t="shared" si="38"/>
        <v>-468422211.70124894</v>
      </c>
      <c r="BD80" s="12">
        <f t="shared" si="38"/>
        <v>-450500632.00304109</v>
      </c>
      <c r="BE80" s="12">
        <f t="shared" si="38"/>
        <v>-434682211.6178956</v>
      </c>
      <c r="BF80" s="12">
        <f t="shared" si="38"/>
        <v>-420859682.05373019</v>
      </c>
      <c r="BG80" s="12">
        <f t="shared" si="38"/>
        <v>-408903102.93809551</v>
      </c>
      <c r="BH80" s="12">
        <f t="shared" si="38"/>
        <v>-398661472.64023811</v>
      </c>
      <c r="BI80" s="12">
        <f t="shared" si="38"/>
        <v>-389964547.76531482</v>
      </c>
      <c r="BJ80" s="12">
        <f t="shared" si="38"/>
        <v>-382624847.990206</v>
      </c>
      <c r="BK80" s="12">
        <f t="shared" si="38"/>
        <v>-376439822.40169227</v>
      </c>
      <c r="BL80" s="12">
        <f t="shared" si="38"/>
        <v>-371194153.47570831</v>
      </c>
      <c r="BM80" s="12">
        <f t="shared" si="38"/>
        <v>-366662175.01646668</v>
      </c>
      <c r="BN80" s="12">
        <f t="shared" si="38"/>
        <v>-362610380.67383009</v>
      </c>
      <c r="BO80" s="11">
        <f t="shared" si="38"/>
        <v>-358800000</v>
      </c>
      <c r="BQ80" s="16"/>
      <c r="BR80" s="11">
        <f t="shared" ref="BR80:CF92" si="41">$C$20/($C$21-$C$22*BR81)</f>
        <v>0.39484815640727794</v>
      </c>
      <c r="BS80" s="12">
        <f t="shared" si="41"/>
        <v>0.39484815640727794</v>
      </c>
      <c r="BT80" s="12">
        <f t="shared" si="41"/>
        <v>0.39484815640727794</v>
      </c>
      <c r="BU80" s="12">
        <f t="shared" si="41"/>
        <v>0.39484815640727794</v>
      </c>
      <c r="BV80" s="12">
        <f t="shared" si="41"/>
        <v>0.39484815640727794</v>
      </c>
      <c r="BW80" s="12">
        <f t="shared" si="41"/>
        <v>0.39484815640727794</v>
      </c>
      <c r="BX80" s="12">
        <f t="shared" si="41"/>
        <v>0.39484815640727794</v>
      </c>
      <c r="BY80" s="12">
        <f t="shared" si="41"/>
        <v>0.39484815640727794</v>
      </c>
      <c r="BZ80" s="12">
        <f t="shared" si="41"/>
        <v>0.39484815640727794</v>
      </c>
      <c r="CA80" s="12">
        <f t="shared" si="41"/>
        <v>0.39484815640727794</v>
      </c>
      <c r="CB80" s="12">
        <f t="shared" si="41"/>
        <v>0.39484815640727794</v>
      </c>
      <c r="CC80" s="12">
        <f t="shared" si="41"/>
        <v>0.39484815640727794</v>
      </c>
      <c r="CD80" s="12">
        <f t="shared" si="41"/>
        <v>0.39484815640727794</v>
      </c>
      <c r="CE80" s="12">
        <f t="shared" si="41"/>
        <v>0.39484815640727794</v>
      </c>
      <c r="CF80" s="12">
        <f t="shared" si="41"/>
        <v>0.39484815640727794</v>
      </c>
      <c r="CG80" s="12">
        <f t="shared" si="39"/>
        <v>0.39484815640727794</v>
      </c>
      <c r="CH80" s="12">
        <f t="shared" si="29"/>
        <v>0.39484815640727794</v>
      </c>
      <c r="CI80" s="12">
        <f t="shared" si="29"/>
        <v>0.39484815640727794</v>
      </c>
      <c r="CJ80" s="12">
        <f t="shared" si="29"/>
        <v>0.39484815640727794</v>
      </c>
      <c r="CK80" s="12">
        <f t="shared" si="29"/>
        <v>0.39484815640727794</v>
      </c>
      <c r="CL80" s="12">
        <f t="shared" si="29"/>
        <v>0.39484815640727794</v>
      </c>
      <c r="CM80" s="12">
        <f t="shared" si="29"/>
        <v>0.39484815640727794</v>
      </c>
      <c r="CN80" s="12">
        <f t="shared" si="29"/>
        <v>0.39484815640727794</v>
      </c>
      <c r="CO80" s="12">
        <f t="shared" si="29"/>
        <v>0.39484815640727794</v>
      </c>
      <c r="CP80" s="12">
        <f t="shared" si="29"/>
        <v>0.39484815640727794</v>
      </c>
      <c r="CQ80" s="12">
        <f t="shared" si="29"/>
        <v>0.39484815640727794</v>
      </c>
      <c r="CR80" s="12">
        <f t="shared" si="29"/>
        <v>0.39484815640727794</v>
      </c>
      <c r="CS80" s="12">
        <f t="shared" si="29"/>
        <v>0.39484815640727794</v>
      </c>
      <c r="CT80" s="12">
        <f t="shared" si="29"/>
        <v>0.39484815640727794</v>
      </c>
      <c r="CU80" s="11">
        <f t="shared" si="29"/>
        <v>0.39484815640727794</v>
      </c>
      <c r="CW80" s="16"/>
      <c r="CX80" s="11">
        <f t="shared" ref="CX80:DL92" si="42">($C$22*CX81-AL80)/($C$21-$C$22*BR81)</f>
        <v>181.54555307781661</v>
      </c>
      <c r="CY80" s="12">
        <f t="shared" si="42"/>
        <v>173.80238308306554</v>
      </c>
      <c r="CZ80" s="12">
        <f t="shared" si="42"/>
        <v>166.10174913007646</v>
      </c>
      <c r="DA80" s="12">
        <f t="shared" si="42"/>
        <v>158.48565638995802</v>
      </c>
      <c r="DB80" s="12">
        <f t="shared" si="42"/>
        <v>150.99505603867709</v>
      </c>
      <c r="DC80" s="12">
        <f t="shared" si="42"/>
        <v>143.66933746104857</v>
      </c>
      <c r="DD80" s="12">
        <f t="shared" si="42"/>
        <v>136.54584304334441</v>
      </c>
      <c r="DE80" s="12">
        <f t="shared" si="42"/>
        <v>129.65941234497697</v>
      </c>
      <c r="DF80" s="12">
        <f t="shared" si="42"/>
        <v>123.04196183810319</v>
      </c>
      <c r="DG80" s="12">
        <f t="shared" si="42"/>
        <v>116.72210569012815</v>
      </c>
      <c r="DH80" s="12">
        <f t="shared" si="42"/>
        <v>110.72482226082309</v>
      </c>
      <c r="DI80" s="12">
        <f t="shared" si="42"/>
        <v>105.07117011815124</v>
      </c>
      <c r="DJ80" s="12">
        <f t="shared" si="42"/>
        <v>99.778056471064389</v>
      </c>
      <c r="DK80" s="12">
        <f t="shared" si="42"/>
        <v>94.858059999634591</v>
      </c>
      <c r="DL80" s="12">
        <f t="shared" si="42"/>
        <v>90.319309157995477</v>
      </c>
      <c r="DM80" s="12">
        <f t="shared" si="40"/>
        <v>86.16541615672179</v>
      </c>
      <c r="DN80" s="12">
        <f t="shared" si="31"/>
        <v>82.395466018615494</v>
      </c>
      <c r="DO80" s="12">
        <f t="shared" si="31"/>
        <v>79.004059361981916</v>
      </c>
      <c r="DP80" s="12">
        <f t="shared" si="31"/>
        <v>75.981406910904894</v>
      </c>
      <c r="DQ80" s="12">
        <f t="shared" si="31"/>
        <v>73.313473170995337</v>
      </c>
      <c r="DR80" s="12">
        <f t="shared" si="31"/>
        <v>70.982166245446408</v>
      </c>
      <c r="DS80" s="12">
        <f t="shared" si="31"/>
        <v>68.965570399602314</v>
      </c>
      <c r="DT80" s="12">
        <f t="shared" si="31"/>
        <v>67.238217708369461</v>
      </c>
      <c r="DU80" s="12">
        <f t="shared" si="31"/>
        <v>65.771394931990642</v>
      </c>
      <c r="DV80" s="12">
        <f t="shared" si="31"/>
        <v>64.533481651521242</v>
      </c>
      <c r="DW80" s="12">
        <f t="shared" si="31"/>
        <v>63.490315643283445</v>
      </c>
      <c r="DX80" s="12">
        <f t="shared" si="31"/>
        <v>62.605581467855281</v>
      </c>
      <c r="DY80" s="12">
        <f t="shared" si="31"/>
        <v>61.841218279524007</v>
      </c>
      <c r="DZ80" s="12">
        <f t="shared" si="31"/>
        <v>61.157842912660826</v>
      </c>
      <c r="EA80" s="11">
        <f t="shared" si="31"/>
        <v>60.515184359272212</v>
      </c>
    </row>
    <row r="81" spans="5:131" x14ac:dyDescent="0.3">
      <c r="E81" s="16"/>
      <c r="F81" s="11">
        <f t="shared" si="37"/>
        <v>300</v>
      </c>
      <c r="G81" s="12">
        <f t="shared" si="37"/>
        <v>287.20458331783192</v>
      </c>
      <c r="H81" s="12">
        <f t="shared" si="37"/>
        <v>274.47945650127753</v>
      </c>
      <c r="I81" s="12">
        <f t="shared" si="37"/>
        <v>261.89403216396983</v>
      </c>
      <c r="J81" s="12">
        <f t="shared" si="37"/>
        <v>249.5159812159466</v>
      </c>
      <c r="K81" s="12">
        <f t="shared" si="37"/>
        <v>237.41039374200534</v>
      </c>
      <c r="L81" s="12">
        <f t="shared" si="37"/>
        <v>225.6389772072514</v>
      </c>
      <c r="M81" s="12">
        <f t="shared" si="37"/>
        <v>214.25930321091454</v>
      </c>
      <c r="N81" s="12">
        <f t="shared" si="37"/>
        <v>203.32411301536513</v>
      </c>
      <c r="O81" s="12">
        <f t="shared" si="37"/>
        <v>192.88069089761245</v>
      </c>
      <c r="P81" s="12">
        <f t="shared" si="37"/>
        <v>182.97031304318864</v>
      </c>
      <c r="Q81" s="12">
        <f t="shared" si="37"/>
        <v>173.62777826859929</v>
      </c>
      <c r="R81" s="12">
        <f t="shared" si="36"/>
        <v>164.88102536165582</v>
      </c>
      <c r="S81" s="12">
        <f t="shared" si="36"/>
        <v>156.75084031219731</v>
      </c>
      <c r="T81" s="12">
        <f t="shared" si="36"/>
        <v>149.25065521040034</v>
      </c>
      <c r="U81" s="12">
        <f t="shared" si="36"/>
        <v>142.38643915412518</v>
      </c>
      <c r="V81" s="12">
        <f t="shared" si="36"/>
        <v>136.15668016384512</v>
      </c>
      <c r="W81" s="12">
        <f t="shared" si="36"/>
        <v>130.55245588106158</v>
      </c>
      <c r="X81" s="12">
        <f t="shared" si="36"/>
        <v>125.55758974443731</v>
      </c>
      <c r="Y81" s="12">
        <f t="shared" si="36"/>
        <v>121.14888841078472</v>
      </c>
      <c r="Z81" s="12">
        <f t="shared" si="36"/>
        <v>117.29645542188692</v>
      </c>
      <c r="AA81" s="12">
        <f t="shared" si="36"/>
        <v>113.96407551228972</v>
      </c>
      <c r="AB81" s="12">
        <f t="shared" si="36"/>
        <v>111.10966350062378</v>
      </c>
      <c r="AC81" s="12">
        <f t="shared" si="36"/>
        <v>108.68577139501528</v>
      </c>
      <c r="AD81" s="12">
        <f t="shared" si="36"/>
        <v>106.64014715446099</v>
      </c>
      <c r="AE81" s="12">
        <f t="shared" si="36"/>
        <v>104.91633846201012</v>
      </c>
      <c r="AF81" s="12">
        <f t="shared" si="36"/>
        <v>103.45433485945048</v>
      </c>
      <c r="AG81" s="12">
        <f t="shared" si="35"/>
        <v>102.19124164338538</v>
      </c>
      <c r="AH81" s="12">
        <f t="shared" si="35"/>
        <v>101.0619790060842</v>
      </c>
      <c r="AI81" s="11">
        <f t="shared" si="35"/>
        <v>100</v>
      </c>
      <c r="AK81" s="18"/>
      <c r="AL81" s="11">
        <f t="shared" si="34"/>
        <v>-1076400000</v>
      </c>
      <c r="AM81" s="12">
        <f t="shared" si="34"/>
        <v>-1030490044.9443809</v>
      </c>
      <c r="AN81" s="12">
        <f t="shared" si="34"/>
        <v>-984832289.92658353</v>
      </c>
      <c r="AO81" s="12">
        <f t="shared" si="34"/>
        <v>-939675787.4043237</v>
      </c>
      <c r="AP81" s="12">
        <f t="shared" si="34"/>
        <v>-895263340.60281622</v>
      </c>
      <c r="AQ81" s="12">
        <f t="shared" si="34"/>
        <v>-851828492.746315</v>
      </c>
      <c r="AR81" s="12">
        <f t="shared" si="34"/>
        <v>-809592650.21961784</v>
      </c>
      <c r="AS81" s="12">
        <f t="shared" si="34"/>
        <v>-768762379.92076135</v>
      </c>
      <c r="AT81" s="12">
        <f t="shared" si="34"/>
        <v>-729526917.49913013</v>
      </c>
      <c r="AU81" s="12">
        <f t="shared" si="34"/>
        <v>-692055918.94063342</v>
      </c>
      <c r="AV81" s="12">
        <f t="shared" si="34"/>
        <v>-656497483.19896078</v>
      </c>
      <c r="AW81" s="12">
        <f t="shared" si="34"/>
        <v>-622976468.42773426</v>
      </c>
      <c r="AX81" s="12">
        <f t="shared" si="34"/>
        <v>-591593118.99762106</v>
      </c>
      <c r="AY81" s="12">
        <f t="shared" si="34"/>
        <v>-562422015.04016387</v>
      </c>
      <c r="AZ81" s="12">
        <f t="shared" si="34"/>
        <v>-535511350.8949163</v>
      </c>
      <c r="BA81" s="12">
        <f t="shared" si="34"/>
        <v>-510882543.68500108</v>
      </c>
      <c r="BB81" s="12">
        <f t="shared" si="38"/>
        <v>-488530168.42787629</v>
      </c>
      <c r="BC81" s="12">
        <f t="shared" si="38"/>
        <v>-468422211.70124894</v>
      </c>
      <c r="BD81" s="12">
        <f t="shared" si="38"/>
        <v>-450500632.00304109</v>
      </c>
      <c r="BE81" s="12">
        <f t="shared" si="38"/>
        <v>-434682211.6178956</v>
      </c>
      <c r="BF81" s="12">
        <f t="shared" si="38"/>
        <v>-420859682.05373019</v>
      </c>
      <c r="BG81" s="12">
        <f t="shared" si="38"/>
        <v>-408903102.93809551</v>
      </c>
      <c r="BH81" s="12">
        <f t="shared" si="38"/>
        <v>-398661472.64023811</v>
      </c>
      <c r="BI81" s="12">
        <f t="shared" si="38"/>
        <v>-389964547.76531482</v>
      </c>
      <c r="BJ81" s="12">
        <f t="shared" si="38"/>
        <v>-382624847.990206</v>
      </c>
      <c r="BK81" s="12">
        <f t="shared" si="38"/>
        <v>-376439822.40169227</v>
      </c>
      <c r="BL81" s="12">
        <f t="shared" si="38"/>
        <v>-371194153.47570831</v>
      </c>
      <c r="BM81" s="12">
        <f t="shared" si="38"/>
        <v>-366662175.01646668</v>
      </c>
      <c r="BN81" s="12">
        <f t="shared" si="38"/>
        <v>-362610380.67383009</v>
      </c>
      <c r="BO81" s="11">
        <f t="shared" si="38"/>
        <v>-358800000</v>
      </c>
      <c r="BQ81" s="16"/>
      <c r="BR81" s="11">
        <f t="shared" si="41"/>
        <v>0.39484815655420619</v>
      </c>
      <c r="BS81" s="12">
        <f t="shared" si="41"/>
        <v>0.39484815655420619</v>
      </c>
      <c r="BT81" s="12">
        <f t="shared" si="41"/>
        <v>0.39484815655420619</v>
      </c>
      <c r="BU81" s="12">
        <f t="shared" si="41"/>
        <v>0.39484815655420619</v>
      </c>
      <c r="BV81" s="12">
        <f t="shared" si="41"/>
        <v>0.39484815655420619</v>
      </c>
      <c r="BW81" s="12">
        <f t="shared" si="41"/>
        <v>0.39484815655420619</v>
      </c>
      <c r="BX81" s="12">
        <f t="shared" si="41"/>
        <v>0.39484815655420619</v>
      </c>
      <c r="BY81" s="12">
        <f t="shared" si="41"/>
        <v>0.39484815655420619</v>
      </c>
      <c r="BZ81" s="12">
        <f t="shared" si="41"/>
        <v>0.39484815655420619</v>
      </c>
      <c r="CA81" s="12">
        <f t="shared" si="41"/>
        <v>0.39484815655420619</v>
      </c>
      <c r="CB81" s="12">
        <f t="shared" si="41"/>
        <v>0.39484815655420619</v>
      </c>
      <c r="CC81" s="12">
        <f t="shared" si="41"/>
        <v>0.39484815655420619</v>
      </c>
      <c r="CD81" s="12">
        <f t="shared" si="41"/>
        <v>0.39484815655420619</v>
      </c>
      <c r="CE81" s="12">
        <f t="shared" si="41"/>
        <v>0.39484815655420619</v>
      </c>
      <c r="CF81" s="12">
        <f t="shared" si="41"/>
        <v>0.39484815655420619</v>
      </c>
      <c r="CG81" s="12">
        <f t="shared" si="39"/>
        <v>0.39484815655420619</v>
      </c>
      <c r="CH81" s="12">
        <f t="shared" si="29"/>
        <v>0.39484815655420619</v>
      </c>
      <c r="CI81" s="12">
        <f t="shared" si="29"/>
        <v>0.39484815655420619</v>
      </c>
      <c r="CJ81" s="12">
        <f t="shared" si="29"/>
        <v>0.39484815655420619</v>
      </c>
      <c r="CK81" s="12">
        <f t="shared" si="29"/>
        <v>0.39484815655420619</v>
      </c>
      <c r="CL81" s="12">
        <f t="shared" si="29"/>
        <v>0.39484815655420619</v>
      </c>
      <c r="CM81" s="12">
        <f t="shared" si="29"/>
        <v>0.39484815655420619</v>
      </c>
      <c r="CN81" s="12">
        <f t="shared" si="29"/>
        <v>0.39484815655420619</v>
      </c>
      <c r="CO81" s="12">
        <f t="shared" si="29"/>
        <v>0.39484815655420619</v>
      </c>
      <c r="CP81" s="12">
        <f t="shared" si="29"/>
        <v>0.39484815655420619</v>
      </c>
      <c r="CQ81" s="12">
        <f t="shared" si="29"/>
        <v>0.39484815655420619</v>
      </c>
      <c r="CR81" s="12">
        <f t="shared" si="29"/>
        <v>0.39484815655420619</v>
      </c>
      <c r="CS81" s="12">
        <f t="shared" si="29"/>
        <v>0.39484815655420619</v>
      </c>
      <c r="CT81" s="12">
        <f t="shared" si="29"/>
        <v>0.39484815655420619</v>
      </c>
      <c r="CU81" s="11">
        <f t="shared" si="29"/>
        <v>0.39484815655420619</v>
      </c>
      <c r="CW81" s="16"/>
      <c r="CX81" s="11">
        <f t="shared" si="42"/>
        <v>181.54555303373814</v>
      </c>
      <c r="CY81" s="12">
        <f t="shared" si="42"/>
        <v>173.80238304086706</v>
      </c>
      <c r="CZ81" s="12">
        <f t="shared" si="42"/>
        <v>166.10174908974764</v>
      </c>
      <c r="DA81" s="12">
        <f t="shared" si="42"/>
        <v>158.48565635147835</v>
      </c>
      <c r="DB81" s="12">
        <f t="shared" si="42"/>
        <v>150.99505600201613</v>
      </c>
      <c r="DC81" s="12">
        <f t="shared" si="42"/>
        <v>143.66933742616627</v>
      </c>
      <c r="DD81" s="12">
        <f t="shared" si="42"/>
        <v>136.54584301019162</v>
      </c>
      <c r="DE81" s="12">
        <f t="shared" si="42"/>
        <v>129.6594123134962</v>
      </c>
      <c r="DF81" s="12">
        <f t="shared" si="42"/>
        <v>123.04196180822913</v>
      </c>
      <c r="DG81" s="12">
        <f t="shared" si="42"/>
        <v>116.72210566178852</v>
      </c>
      <c r="DH81" s="12">
        <f t="shared" si="42"/>
        <v>110.72482223393956</v>
      </c>
      <c r="DI81" s="12">
        <f t="shared" si="42"/>
        <v>105.0711700926404</v>
      </c>
      <c r="DJ81" s="12">
        <f t="shared" si="42"/>
        <v>99.778056446838704</v>
      </c>
      <c r="DK81" s="12">
        <f t="shared" si="42"/>
        <v>94.858059976603442</v>
      </c>
      <c r="DL81" s="12">
        <f t="shared" si="42"/>
        <v>90.319309136066323</v>
      </c>
      <c r="DM81" s="12">
        <f t="shared" si="40"/>
        <v>86.165416135801195</v>
      </c>
      <c r="DN81" s="12">
        <f t="shared" si="31"/>
        <v>82.39546599861022</v>
      </c>
      <c r="DO81" s="12">
        <f t="shared" si="31"/>
        <v>79.004059342800076</v>
      </c>
      <c r="DP81" s="12">
        <f t="shared" si="31"/>
        <v>75.981406892456931</v>
      </c>
      <c r="DQ81" s="12">
        <f t="shared" si="31"/>
        <v>73.313473153195133</v>
      </c>
      <c r="DR81" s="12">
        <f t="shared" si="31"/>
        <v>70.982166228212236</v>
      </c>
      <c r="DS81" s="12">
        <f t="shared" si="31"/>
        <v>68.965570382857777</v>
      </c>
      <c r="DT81" s="12">
        <f t="shared" si="31"/>
        <v>67.238217692044316</v>
      </c>
      <c r="DU81" s="12">
        <f t="shared" si="31"/>
        <v>65.77139491602162</v>
      </c>
      <c r="DV81" s="12">
        <f t="shared" si="31"/>
        <v>64.533481635852795</v>
      </c>
      <c r="DW81" s="12">
        <f t="shared" si="31"/>
        <v>63.490315627868263</v>
      </c>
      <c r="DX81" s="12">
        <f t="shared" si="31"/>
        <v>62.605581452654903</v>
      </c>
      <c r="DY81" s="12">
        <f t="shared" si="31"/>
        <v>61.84121826450923</v>
      </c>
      <c r="DZ81" s="12">
        <f t="shared" si="31"/>
        <v>61.157842897811967</v>
      </c>
      <c r="EA81" s="11">
        <f t="shared" si="31"/>
        <v>60.515184344579389</v>
      </c>
    </row>
    <row r="82" spans="5:131" x14ac:dyDescent="0.3">
      <c r="E82" s="16"/>
      <c r="F82" s="11">
        <f t="shared" si="37"/>
        <v>300</v>
      </c>
      <c r="G82" s="12">
        <f t="shared" si="37"/>
        <v>287.20458331783192</v>
      </c>
      <c r="H82" s="12">
        <f t="shared" si="37"/>
        <v>274.47945650127753</v>
      </c>
      <c r="I82" s="12">
        <f t="shared" si="37"/>
        <v>261.89403216396983</v>
      </c>
      <c r="J82" s="12">
        <f t="shared" si="37"/>
        <v>249.51598121594657</v>
      </c>
      <c r="K82" s="12">
        <f t="shared" si="37"/>
        <v>237.41039374200534</v>
      </c>
      <c r="L82" s="12">
        <f t="shared" si="37"/>
        <v>225.6389772072514</v>
      </c>
      <c r="M82" s="12">
        <f t="shared" si="37"/>
        <v>214.25930321091454</v>
      </c>
      <c r="N82" s="12">
        <f t="shared" si="37"/>
        <v>203.32411301536513</v>
      </c>
      <c r="O82" s="12">
        <f t="shared" si="37"/>
        <v>192.88069089761245</v>
      </c>
      <c r="P82" s="12">
        <f t="shared" si="37"/>
        <v>182.97031304318864</v>
      </c>
      <c r="Q82" s="12">
        <f t="shared" si="37"/>
        <v>173.62777826859929</v>
      </c>
      <c r="R82" s="12">
        <f t="shared" si="36"/>
        <v>164.88102536165582</v>
      </c>
      <c r="S82" s="12">
        <f t="shared" si="36"/>
        <v>156.75084031219731</v>
      </c>
      <c r="T82" s="12">
        <f t="shared" si="36"/>
        <v>149.25065521040034</v>
      </c>
      <c r="U82" s="12">
        <f t="shared" si="36"/>
        <v>142.38643915412518</v>
      </c>
      <c r="V82" s="12">
        <f t="shared" si="36"/>
        <v>136.15668016384512</v>
      </c>
      <c r="W82" s="12">
        <f t="shared" si="36"/>
        <v>130.55245588106158</v>
      </c>
      <c r="X82" s="12">
        <f t="shared" si="36"/>
        <v>125.55758974443732</v>
      </c>
      <c r="Y82" s="12">
        <f t="shared" si="36"/>
        <v>121.14888841078472</v>
      </c>
      <c r="Z82" s="12">
        <f t="shared" si="36"/>
        <v>117.29645542188692</v>
      </c>
      <c r="AA82" s="12">
        <f t="shared" si="36"/>
        <v>113.96407551228972</v>
      </c>
      <c r="AB82" s="12">
        <f t="shared" si="36"/>
        <v>111.10966350062378</v>
      </c>
      <c r="AC82" s="12">
        <f t="shared" si="36"/>
        <v>108.68577139501528</v>
      </c>
      <c r="AD82" s="12">
        <f t="shared" si="36"/>
        <v>106.64014715446098</v>
      </c>
      <c r="AE82" s="12">
        <f t="shared" si="36"/>
        <v>104.91633846201012</v>
      </c>
      <c r="AF82" s="12">
        <f t="shared" si="36"/>
        <v>103.45433485945048</v>
      </c>
      <c r="AG82" s="12">
        <f t="shared" si="36"/>
        <v>102.19124164338538</v>
      </c>
      <c r="AH82" s="12">
        <f t="shared" ref="AH82:AI93" si="43">CT82*AH81+DZ82</f>
        <v>101.06197900608419</v>
      </c>
      <c r="AI82" s="11">
        <f t="shared" si="43"/>
        <v>100</v>
      </c>
      <c r="AK82" s="18"/>
      <c r="AL82" s="11">
        <f t="shared" si="34"/>
        <v>-1076400000</v>
      </c>
      <c r="AM82" s="12">
        <f t="shared" si="34"/>
        <v>-1030490044.9443809</v>
      </c>
      <c r="AN82" s="12">
        <f t="shared" si="34"/>
        <v>-984832289.92658353</v>
      </c>
      <c r="AO82" s="12">
        <f t="shared" si="34"/>
        <v>-939675787.4043237</v>
      </c>
      <c r="AP82" s="12">
        <f t="shared" si="34"/>
        <v>-895263340.60281622</v>
      </c>
      <c r="AQ82" s="12">
        <f t="shared" si="34"/>
        <v>-851828492.746315</v>
      </c>
      <c r="AR82" s="12">
        <f t="shared" si="34"/>
        <v>-809592650.21961784</v>
      </c>
      <c r="AS82" s="12">
        <f t="shared" si="34"/>
        <v>-768762379.92076135</v>
      </c>
      <c r="AT82" s="12">
        <f t="shared" si="34"/>
        <v>-729526917.49913013</v>
      </c>
      <c r="AU82" s="12">
        <f t="shared" si="34"/>
        <v>-692055918.94063342</v>
      </c>
      <c r="AV82" s="12">
        <f t="shared" si="34"/>
        <v>-656497483.19896078</v>
      </c>
      <c r="AW82" s="12">
        <f t="shared" si="34"/>
        <v>-622976468.42773426</v>
      </c>
      <c r="AX82" s="12">
        <f t="shared" si="34"/>
        <v>-591593118.99762106</v>
      </c>
      <c r="AY82" s="12">
        <f t="shared" si="34"/>
        <v>-562422015.04016387</v>
      </c>
      <c r="AZ82" s="12">
        <f t="shared" si="34"/>
        <v>-535511350.8949163</v>
      </c>
      <c r="BA82" s="12">
        <f t="shared" si="34"/>
        <v>-510882543.68500108</v>
      </c>
      <c r="BB82" s="12">
        <f t="shared" si="38"/>
        <v>-488530168.42787629</v>
      </c>
      <c r="BC82" s="12">
        <f t="shared" si="38"/>
        <v>-468422211.70124894</v>
      </c>
      <c r="BD82" s="12">
        <f t="shared" si="38"/>
        <v>-450500632.00304109</v>
      </c>
      <c r="BE82" s="12">
        <f t="shared" si="38"/>
        <v>-434682211.6178956</v>
      </c>
      <c r="BF82" s="12">
        <f t="shared" si="38"/>
        <v>-420859682.05373019</v>
      </c>
      <c r="BG82" s="12">
        <f t="shared" si="38"/>
        <v>-408903102.93809551</v>
      </c>
      <c r="BH82" s="12">
        <f t="shared" si="38"/>
        <v>-398661472.64023811</v>
      </c>
      <c r="BI82" s="12">
        <f t="shared" si="38"/>
        <v>-389964547.76531482</v>
      </c>
      <c r="BJ82" s="12">
        <f t="shared" si="38"/>
        <v>-382624847.990206</v>
      </c>
      <c r="BK82" s="12">
        <f t="shared" si="38"/>
        <v>-376439822.40169227</v>
      </c>
      <c r="BL82" s="12">
        <f t="shared" si="38"/>
        <v>-371194153.47570831</v>
      </c>
      <c r="BM82" s="12">
        <f t="shared" si="38"/>
        <v>-366662175.01646668</v>
      </c>
      <c r="BN82" s="12">
        <f t="shared" si="38"/>
        <v>-362610380.67383009</v>
      </c>
      <c r="BO82" s="11">
        <f t="shared" si="38"/>
        <v>-358800000</v>
      </c>
      <c r="BQ82" s="16"/>
      <c r="BR82" s="11">
        <f t="shared" si="41"/>
        <v>0.39484815749662749</v>
      </c>
      <c r="BS82" s="12">
        <f t="shared" si="41"/>
        <v>0.39484815749662749</v>
      </c>
      <c r="BT82" s="12">
        <f t="shared" si="41"/>
        <v>0.39484815749662749</v>
      </c>
      <c r="BU82" s="12">
        <f t="shared" si="41"/>
        <v>0.39484815749662749</v>
      </c>
      <c r="BV82" s="12">
        <f t="shared" si="41"/>
        <v>0.39484815749662749</v>
      </c>
      <c r="BW82" s="12">
        <f t="shared" si="41"/>
        <v>0.39484815749662749</v>
      </c>
      <c r="BX82" s="12">
        <f t="shared" si="41"/>
        <v>0.39484815749662749</v>
      </c>
      <c r="BY82" s="12">
        <f t="shared" si="41"/>
        <v>0.39484815749662749</v>
      </c>
      <c r="BZ82" s="12">
        <f t="shared" si="41"/>
        <v>0.39484815749662749</v>
      </c>
      <c r="CA82" s="12">
        <f t="shared" si="41"/>
        <v>0.39484815749662749</v>
      </c>
      <c r="CB82" s="12">
        <f t="shared" si="41"/>
        <v>0.39484815749662749</v>
      </c>
      <c r="CC82" s="12">
        <f t="shared" si="41"/>
        <v>0.39484815749662749</v>
      </c>
      <c r="CD82" s="12">
        <f t="shared" si="41"/>
        <v>0.39484815749662749</v>
      </c>
      <c r="CE82" s="12">
        <f t="shared" si="41"/>
        <v>0.39484815749662749</v>
      </c>
      <c r="CF82" s="12">
        <f t="shared" si="41"/>
        <v>0.39484815749662749</v>
      </c>
      <c r="CG82" s="12">
        <f t="shared" si="39"/>
        <v>0.39484815749662749</v>
      </c>
      <c r="CH82" s="12">
        <f t="shared" si="29"/>
        <v>0.39484815749662749</v>
      </c>
      <c r="CI82" s="12">
        <f t="shared" si="29"/>
        <v>0.39484815749662749</v>
      </c>
      <c r="CJ82" s="12">
        <f t="shared" si="29"/>
        <v>0.39484815749662749</v>
      </c>
      <c r="CK82" s="12">
        <f t="shared" ref="CK82:CU92" si="44">$C$20/($C$21-$C$22*CK83)</f>
        <v>0.39484815749662749</v>
      </c>
      <c r="CL82" s="12">
        <f t="shared" si="44"/>
        <v>0.39484815749662749</v>
      </c>
      <c r="CM82" s="12">
        <f t="shared" si="44"/>
        <v>0.39484815749662749</v>
      </c>
      <c r="CN82" s="12">
        <f t="shared" si="44"/>
        <v>0.39484815749662749</v>
      </c>
      <c r="CO82" s="12">
        <f t="shared" si="44"/>
        <v>0.39484815749662749</v>
      </c>
      <c r="CP82" s="12">
        <f t="shared" si="44"/>
        <v>0.39484815749662749</v>
      </c>
      <c r="CQ82" s="12">
        <f t="shared" si="44"/>
        <v>0.39484815749662749</v>
      </c>
      <c r="CR82" s="12">
        <f t="shared" si="44"/>
        <v>0.39484815749662749</v>
      </c>
      <c r="CS82" s="12">
        <f t="shared" si="44"/>
        <v>0.39484815749662749</v>
      </c>
      <c r="CT82" s="12">
        <f t="shared" si="44"/>
        <v>0.39484815749662749</v>
      </c>
      <c r="CU82" s="11">
        <f t="shared" si="44"/>
        <v>0.39484815749662749</v>
      </c>
      <c r="CW82" s="16"/>
      <c r="CX82" s="11">
        <f t="shared" si="42"/>
        <v>181.54555275101174</v>
      </c>
      <c r="CY82" s="12">
        <f t="shared" si="42"/>
        <v>173.80238277019936</v>
      </c>
      <c r="CZ82" s="12">
        <f t="shared" si="42"/>
        <v>166.10174883107237</v>
      </c>
      <c r="DA82" s="12">
        <f t="shared" si="42"/>
        <v>158.48565610466383</v>
      </c>
      <c r="DB82" s="12">
        <f t="shared" si="42"/>
        <v>150.99505576686695</v>
      </c>
      <c r="DC82" s="12">
        <f t="shared" si="42"/>
        <v>143.66933720242568</v>
      </c>
      <c r="DD82" s="12">
        <f t="shared" si="42"/>
        <v>136.54584279754465</v>
      </c>
      <c r="DE82" s="12">
        <f t="shared" si="42"/>
        <v>129.65941211157369</v>
      </c>
      <c r="DF82" s="12">
        <f t="shared" si="42"/>
        <v>123.04196161661217</v>
      </c>
      <c r="DG82" s="12">
        <f t="shared" si="42"/>
        <v>116.72210548001365</v>
      </c>
      <c r="DH82" s="12">
        <f t="shared" si="42"/>
        <v>110.72482206150445</v>
      </c>
      <c r="DI82" s="12">
        <f t="shared" si="42"/>
        <v>105.07116992900988</v>
      </c>
      <c r="DJ82" s="12">
        <f t="shared" si="42"/>
        <v>99.778056291451321</v>
      </c>
      <c r="DK82" s="12">
        <f t="shared" si="42"/>
        <v>94.858059828878112</v>
      </c>
      <c r="DL82" s="12">
        <f t="shared" si="42"/>
        <v>90.31930899540933</v>
      </c>
      <c r="DM82" s="12">
        <f t="shared" si="40"/>
        <v>86.165416001613181</v>
      </c>
      <c r="DN82" s="12">
        <f t="shared" si="31"/>
        <v>82.395465870293265</v>
      </c>
      <c r="DO82" s="12">
        <f t="shared" si="31"/>
        <v>79.004059219764656</v>
      </c>
      <c r="DP82" s="12">
        <f t="shared" si="31"/>
        <v>75.9814067741288</v>
      </c>
      <c r="DQ82" s="12">
        <f t="shared" si="31"/>
        <v>73.313473039021844</v>
      </c>
      <c r="DR82" s="12">
        <f t="shared" ref="DR82:EA92" si="45">($C$22*DR83-BF82)/($C$21-$C$22*CL83)</f>
        <v>70.982166117669564</v>
      </c>
      <c r="DS82" s="12">
        <f t="shared" si="45"/>
        <v>68.965570275455605</v>
      </c>
      <c r="DT82" s="12">
        <f t="shared" si="45"/>
        <v>67.238217587332201</v>
      </c>
      <c r="DU82" s="12">
        <f t="shared" si="45"/>
        <v>65.771394813593844</v>
      </c>
      <c r="DV82" s="12">
        <f t="shared" si="45"/>
        <v>64.533481535352834</v>
      </c>
      <c r="DW82" s="12">
        <f t="shared" si="45"/>
        <v>63.490315528992873</v>
      </c>
      <c r="DX82" s="12">
        <f t="shared" si="45"/>
        <v>62.605581355157341</v>
      </c>
      <c r="DY82" s="12">
        <f t="shared" si="45"/>
        <v>61.841218168202026</v>
      </c>
      <c r="DZ82" s="12">
        <f t="shared" si="45"/>
        <v>61.157842802569</v>
      </c>
      <c r="EA82" s="11">
        <f t="shared" si="45"/>
        <v>60.515184250337256</v>
      </c>
    </row>
    <row r="83" spans="5:131" x14ac:dyDescent="0.3">
      <c r="E83" s="16"/>
      <c r="F83" s="11">
        <f t="shared" si="37"/>
        <v>300</v>
      </c>
      <c r="G83" s="12">
        <f t="shared" si="37"/>
        <v>287.20458331783198</v>
      </c>
      <c r="H83" s="12">
        <f t="shared" si="37"/>
        <v>274.47945650127758</v>
      </c>
      <c r="I83" s="12">
        <f t="shared" si="37"/>
        <v>261.89403216396988</v>
      </c>
      <c r="J83" s="12">
        <f t="shared" si="37"/>
        <v>249.51598121594662</v>
      </c>
      <c r="K83" s="12">
        <f t="shared" si="37"/>
        <v>237.41039374200537</v>
      </c>
      <c r="L83" s="12">
        <f t="shared" si="37"/>
        <v>225.63897720725143</v>
      </c>
      <c r="M83" s="12">
        <f t="shared" si="37"/>
        <v>214.2593032109146</v>
      </c>
      <c r="N83" s="12">
        <f t="shared" si="37"/>
        <v>203.32411301536519</v>
      </c>
      <c r="O83" s="12">
        <f t="shared" si="37"/>
        <v>192.88069089761245</v>
      </c>
      <c r="P83" s="12">
        <f t="shared" si="37"/>
        <v>182.97031304318864</v>
      </c>
      <c r="Q83" s="12">
        <f t="shared" si="37"/>
        <v>173.62777826859931</v>
      </c>
      <c r="R83" s="12">
        <f t="shared" si="36"/>
        <v>164.88102536165587</v>
      </c>
      <c r="S83" s="12">
        <f t="shared" si="36"/>
        <v>156.75084031219731</v>
      </c>
      <c r="T83" s="12">
        <f t="shared" si="36"/>
        <v>149.25065521040034</v>
      </c>
      <c r="U83" s="12">
        <f t="shared" si="36"/>
        <v>142.38643915412518</v>
      </c>
      <c r="V83" s="12">
        <f t="shared" si="36"/>
        <v>136.15668016384512</v>
      </c>
      <c r="W83" s="12">
        <f t="shared" si="36"/>
        <v>130.55245588106158</v>
      </c>
      <c r="X83" s="12">
        <f t="shared" si="36"/>
        <v>125.55758974443734</v>
      </c>
      <c r="Y83" s="12">
        <f t="shared" si="36"/>
        <v>121.14888841078474</v>
      </c>
      <c r="Z83" s="12">
        <f t="shared" si="36"/>
        <v>117.29645542188693</v>
      </c>
      <c r="AA83" s="12">
        <f t="shared" si="36"/>
        <v>113.96407551228974</v>
      </c>
      <c r="AB83" s="12">
        <f t="shared" si="36"/>
        <v>111.10966350062378</v>
      </c>
      <c r="AC83" s="12">
        <f t="shared" si="36"/>
        <v>108.68577139501531</v>
      </c>
      <c r="AD83" s="12">
        <f t="shared" si="36"/>
        <v>106.64014715446099</v>
      </c>
      <c r="AE83" s="12">
        <f t="shared" si="36"/>
        <v>104.91633846201012</v>
      </c>
      <c r="AF83" s="12">
        <f t="shared" si="36"/>
        <v>103.45433485945048</v>
      </c>
      <c r="AG83" s="12">
        <f t="shared" si="36"/>
        <v>102.19124164338538</v>
      </c>
      <c r="AH83" s="12">
        <f t="shared" si="43"/>
        <v>101.06197900608419</v>
      </c>
      <c r="AI83" s="11">
        <f t="shared" si="43"/>
        <v>100</v>
      </c>
      <c r="AK83" s="18"/>
      <c r="AL83" s="11">
        <f t="shared" si="34"/>
        <v>-1076400000</v>
      </c>
      <c r="AM83" s="12">
        <f t="shared" si="34"/>
        <v>-1030490044.9443809</v>
      </c>
      <c r="AN83" s="12">
        <f t="shared" si="34"/>
        <v>-984832289.92658377</v>
      </c>
      <c r="AO83" s="12">
        <f t="shared" si="34"/>
        <v>-939675787.40432394</v>
      </c>
      <c r="AP83" s="12">
        <f t="shared" si="34"/>
        <v>-895263340.60281646</v>
      </c>
      <c r="AQ83" s="12">
        <f t="shared" si="34"/>
        <v>-851828492.74631512</v>
      </c>
      <c r="AR83" s="12">
        <f t="shared" si="34"/>
        <v>-809592650.21961808</v>
      </c>
      <c r="AS83" s="12">
        <f t="shared" si="34"/>
        <v>-768762379.92076135</v>
      </c>
      <c r="AT83" s="12">
        <f t="shared" si="34"/>
        <v>-729526917.49913013</v>
      </c>
      <c r="AU83" s="12">
        <f t="shared" si="34"/>
        <v>-692055918.94063342</v>
      </c>
      <c r="AV83" s="12">
        <f t="shared" si="34"/>
        <v>-656497483.19896078</v>
      </c>
      <c r="AW83" s="12">
        <f t="shared" si="34"/>
        <v>-622976468.42773438</v>
      </c>
      <c r="AX83" s="12">
        <f t="shared" si="34"/>
        <v>-591593118.99762118</v>
      </c>
      <c r="AY83" s="12">
        <f t="shared" si="34"/>
        <v>-562422015.04016387</v>
      </c>
      <c r="AZ83" s="12">
        <f t="shared" si="34"/>
        <v>-535511350.8949163</v>
      </c>
      <c r="BA83" s="12">
        <f t="shared" si="34"/>
        <v>-510882543.68500108</v>
      </c>
      <c r="BB83" s="12">
        <f t="shared" si="38"/>
        <v>-488530168.42787629</v>
      </c>
      <c r="BC83" s="12">
        <f t="shared" si="38"/>
        <v>-468422211.70124894</v>
      </c>
      <c r="BD83" s="12">
        <f t="shared" si="38"/>
        <v>-450500632.00304109</v>
      </c>
      <c r="BE83" s="12">
        <f t="shared" si="38"/>
        <v>-434682211.6178956</v>
      </c>
      <c r="BF83" s="12">
        <f t="shared" si="38"/>
        <v>-420859682.05373025</v>
      </c>
      <c r="BG83" s="12">
        <f t="shared" si="38"/>
        <v>-408903102.93809557</v>
      </c>
      <c r="BH83" s="12">
        <f t="shared" si="38"/>
        <v>-398661472.64023811</v>
      </c>
      <c r="BI83" s="12">
        <f t="shared" si="38"/>
        <v>-389964547.76531482</v>
      </c>
      <c r="BJ83" s="12">
        <f t="shared" si="38"/>
        <v>-382624847.990206</v>
      </c>
      <c r="BK83" s="12">
        <f t="shared" si="38"/>
        <v>-376439822.40169227</v>
      </c>
      <c r="BL83" s="12">
        <f t="shared" si="38"/>
        <v>-371194153.47570831</v>
      </c>
      <c r="BM83" s="12">
        <f t="shared" si="38"/>
        <v>-366662175.01646668</v>
      </c>
      <c r="BN83" s="12">
        <f t="shared" si="38"/>
        <v>-362610380.67383009</v>
      </c>
      <c r="BO83" s="11">
        <f t="shared" si="38"/>
        <v>-358800000</v>
      </c>
      <c r="BQ83" s="16"/>
      <c r="BR83" s="11">
        <f t="shared" si="41"/>
        <v>0.39484816354146846</v>
      </c>
      <c r="BS83" s="12">
        <f t="shared" si="41"/>
        <v>0.39484816354146846</v>
      </c>
      <c r="BT83" s="12">
        <f t="shared" si="41"/>
        <v>0.39484816354146846</v>
      </c>
      <c r="BU83" s="12">
        <f t="shared" si="41"/>
        <v>0.39484816354146846</v>
      </c>
      <c r="BV83" s="12">
        <f t="shared" si="41"/>
        <v>0.39484816354146846</v>
      </c>
      <c r="BW83" s="12">
        <f t="shared" si="41"/>
        <v>0.39484816354146846</v>
      </c>
      <c r="BX83" s="12">
        <f t="shared" si="41"/>
        <v>0.39484816354146846</v>
      </c>
      <c r="BY83" s="12">
        <f t="shared" si="41"/>
        <v>0.39484816354146846</v>
      </c>
      <c r="BZ83" s="12">
        <f t="shared" si="41"/>
        <v>0.39484816354146846</v>
      </c>
      <c r="CA83" s="12">
        <f t="shared" si="41"/>
        <v>0.39484816354146846</v>
      </c>
      <c r="CB83" s="12">
        <f t="shared" si="41"/>
        <v>0.39484816354146846</v>
      </c>
      <c r="CC83" s="12">
        <f t="shared" si="41"/>
        <v>0.39484816354146846</v>
      </c>
      <c r="CD83" s="12">
        <f t="shared" si="41"/>
        <v>0.39484816354146846</v>
      </c>
      <c r="CE83" s="12">
        <f t="shared" si="41"/>
        <v>0.39484816354146846</v>
      </c>
      <c r="CF83" s="12">
        <f t="shared" si="41"/>
        <v>0.39484816354146846</v>
      </c>
      <c r="CG83" s="12">
        <f t="shared" si="39"/>
        <v>0.39484816354146846</v>
      </c>
      <c r="CH83" s="12">
        <f t="shared" si="39"/>
        <v>0.39484816354146846</v>
      </c>
      <c r="CI83" s="12">
        <f t="shared" si="39"/>
        <v>0.39484816354146846</v>
      </c>
      <c r="CJ83" s="12">
        <f t="shared" si="39"/>
        <v>0.39484816354146846</v>
      </c>
      <c r="CK83" s="12">
        <f t="shared" si="44"/>
        <v>0.39484816354146846</v>
      </c>
      <c r="CL83" s="12">
        <f t="shared" si="44"/>
        <v>0.39484816354146846</v>
      </c>
      <c r="CM83" s="12">
        <f t="shared" si="44"/>
        <v>0.39484816354146846</v>
      </c>
      <c r="CN83" s="12">
        <f t="shared" si="44"/>
        <v>0.39484816354146846</v>
      </c>
      <c r="CO83" s="12">
        <f t="shared" si="44"/>
        <v>0.39484816354146846</v>
      </c>
      <c r="CP83" s="12">
        <f t="shared" si="44"/>
        <v>0.39484816354146846</v>
      </c>
      <c r="CQ83" s="12">
        <f t="shared" si="44"/>
        <v>0.39484816354146846</v>
      </c>
      <c r="CR83" s="12">
        <f t="shared" si="44"/>
        <v>0.39484816354146846</v>
      </c>
      <c r="CS83" s="12">
        <f t="shared" si="44"/>
        <v>0.39484816354146846</v>
      </c>
      <c r="CT83" s="12">
        <f t="shared" si="44"/>
        <v>0.39484816354146846</v>
      </c>
      <c r="CU83" s="11">
        <f t="shared" si="44"/>
        <v>0.39484816354146846</v>
      </c>
      <c r="CW83" s="16"/>
      <c r="CX83" s="11">
        <f t="shared" si="42"/>
        <v>181.54555093755948</v>
      </c>
      <c r="CY83" s="12">
        <f t="shared" si="42"/>
        <v>173.80238103409334</v>
      </c>
      <c r="CZ83" s="12">
        <f t="shared" si="42"/>
        <v>166.10174717188775</v>
      </c>
      <c r="DA83" s="12">
        <f t="shared" si="42"/>
        <v>158.48565452155611</v>
      </c>
      <c r="DB83" s="12">
        <f t="shared" si="42"/>
        <v>150.99505425858257</v>
      </c>
      <c r="DC83" s="12">
        <f t="shared" si="42"/>
        <v>143.66933576731762</v>
      </c>
      <c r="DD83" s="12">
        <f t="shared" si="42"/>
        <v>136.54584143359295</v>
      </c>
      <c r="DE83" s="12">
        <f t="shared" si="42"/>
        <v>129.65941081641031</v>
      </c>
      <c r="DF83" s="12">
        <f t="shared" si="42"/>
        <v>123.04196038755026</v>
      </c>
      <c r="DG83" s="12">
        <f t="shared" si="42"/>
        <v>116.72210431408055</v>
      </c>
      <c r="DH83" s="12">
        <f t="shared" si="42"/>
        <v>110.72482095547801</v>
      </c>
      <c r="DI83" s="12">
        <f t="shared" si="42"/>
        <v>105.0711688794576</v>
      </c>
      <c r="DJ83" s="12">
        <f t="shared" si="42"/>
        <v>99.778055294771775</v>
      </c>
      <c r="DK83" s="12">
        <f t="shared" si="42"/>
        <v>94.85805888134422</v>
      </c>
      <c r="DL83" s="12">
        <f t="shared" si="42"/>
        <v>90.319308093212868</v>
      </c>
      <c r="DM83" s="12">
        <f t="shared" si="40"/>
        <v>86.165415140909815</v>
      </c>
      <c r="DN83" s="12">
        <f t="shared" si="40"/>
        <v>82.395465047247797</v>
      </c>
      <c r="DO83" s="12">
        <f t="shared" si="40"/>
        <v>79.004058430595833</v>
      </c>
      <c r="DP83" s="12">
        <f t="shared" si="40"/>
        <v>75.981406015153141</v>
      </c>
      <c r="DQ83" s="12">
        <f t="shared" si="40"/>
        <v>73.313472306696099</v>
      </c>
      <c r="DR83" s="12">
        <f t="shared" si="45"/>
        <v>70.982165408631161</v>
      </c>
      <c r="DS83" s="12">
        <f t="shared" si="45"/>
        <v>68.965569586560903</v>
      </c>
      <c r="DT83" s="12">
        <f t="shared" si="45"/>
        <v>67.238216915691964</v>
      </c>
      <c r="DU83" s="12">
        <f t="shared" si="45"/>
        <v>65.771394156605652</v>
      </c>
      <c r="DV83" s="12">
        <f t="shared" si="45"/>
        <v>64.533480890730118</v>
      </c>
      <c r="DW83" s="12">
        <f t="shared" si="45"/>
        <v>63.490314894790295</v>
      </c>
      <c r="DX83" s="12">
        <f t="shared" si="45"/>
        <v>62.605580729792344</v>
      </c>
      <c r="DY83" s="12">
        <f t="shared" si="45"/>
        <v>61.841217550472237</v>
      </c>
      <c r="DZ83" s="12">
        <f t="shared" si="45"/>
        <v>61.157842191665416</v>
      </c>
      <c r="EA83" s="11">
        <f t="shared" si="45"/>
        <v>60.515183645853163</v>
      </c>
    </row>
    <row r="84" spans="5:131" x14ac:dyDescent="0.3">
      <c r="E84" s="16"/>
      <c r="F84" s="11">
        <f t="shared" si="37"/>
        <v>300.00000000000006</v>
      </c>
      <c r="G84" s="12">
        <f t="shared" si="37"/>
        <v>287.20458331783192</v>
      </c>
      <c r="H84" s="12">
        <f t="shared" si="37"/>
        <v>274.47945650127758</v>
      </c>
      <c r="I84" s="12">
        <f t="shared" si="37"/>
        <v>261.89403216396988</v>
      </c>
      <c r="J84" s="12">
        <f t="shared" si="37"/>
        <v>249.5159812159466</v>
      </c>
      <c r="K84" s="12">
        <f t="shared" si="37"/>
        <v>237.41039374200534</v>
      </c>
      <c r="L84" s="12">
        <f t="shared" si="37"/>
        <v>225.6389772072514</v>
      </c>
      <c r="M84" s="12">
        <f t="shared" si="37"/>
        <v>214.2593032109146</v>
      </c>
      <c r="N84" s="12">
        <f t="shared" si="37"/>
        <v>203.32411301536516</v>
      </c>
      <c r="O84" s="12">
        <f t="shared" si="37"/>
        <v>192.88069089761245</v>
      </c>
      <c r="P84" s="12">
        <f t="shared" si="37"/>
        <v>182.97031304318864</v>
      </c>
      <c r="Q84" s="12">
        <f t="shared" si="37"/>
        <v>173.62777826859931</v>
      </c>
      <c r="R84" s="12">
        <f t="shared" si="36"/>
        <v>164.88102536165587</v>
      </c>
      <c r="S84" s="12">
        <f t="shared" si="36"/>
        <v>156.75084031219731</v>
      </c>
      <c r="T84" s="12">
        <f t="shared" si="36"/>
        <v>149.25065521040031</v>
      </c>
      <c r="U84" s="12">
        <f t="shared" si="36"/>
        <v>142.38643915412518</v>
      </c>
      <c r="V84" s="12">
        <f t="shared" si="36"/>
        <v>136.15668016384512</v>
      </c>
      <c r="W84" s="12">
        <f t="shared" si="36"/>
        <v>130.55245588106158</v>
      </c>
      <c r="X84" s="12">
        <f t="shared" si="36"/>
        <v>125.55758974443731</v>
      </c>
      <c r="Y84" s="12">
        <f t="shared" si="36"/>
        <v>121.14888841078474</v>
      </c>
      <c r="Z84" s="12">
        <f t="shared" si="36"/>
        <v>117.29645542188692</v>
      </c>
      <c r="AA84" s="12">
        <f t="shared" si="36"/>
        <v>113.96407551228974</v>
      </c>
      <c r="AB84" s="12">
        <f t="shared" si="36"/>
        <v>111.10966350062378</v>
      </c>
      <c r="AC84" s="12">
        <f t="shared" si="36"/>
        <v>108.68577139501531</v>
      </c>
      <c r="AD84" s="12">
        <f t="shared" si="36"/>
        <v>106.640147154461</v>
      </c>
      <c r="AE84" s="12">
        <f t="shared" si="36"/>
        <v>104.91633846201012</v>
      </c>
      <c r="AF84" s="12">
        <f t="shared" si="36"/>
        <v>103.45433485945048</v>
      </c>
      <c r="AG84" s="12">
        <f t="shared" si="36"/>
        <v>102.19124164338538</v>
      </c>
      <c r="AH84" s="12">
        <f t="shared" si="43"/>
        <v>101.06197900608419</v>
      </c>
      <c r="AI84" s="11">
        <f t="shared" si="43"/>
        <v>100</v>
      </c>
      <c r="AK84" s="18"/>
      <c r="AL84" s="11">
        <f t="shared" si="34"/>
        <v>-1076400000</v>
      </c>
      <c r="AM84" s="12">
        <f t="shared" si="34"/>
        <v>-1030490044.9443809</v>
      </c>
      <c r="AN84" s="12">
        <f t="shared" si="34"/>
        <v>-984832289.92658377</v>
      </c>
      <c r="AO84" s="12">
        <f t="shared" si="34"/>
        <v>-939675787.40432394</v>
      </c>
      <c r="AP84" s="12">
        <f t="shared" si="34"/>
        <v>-895263340.60281622</v>
      </c>
      <c r="AQ84" s="12">
        <f t="shared" si="34"/>
        <v>-851828492.746315</v>
      </c>
      <c r="AR84" s="12">
        <f t="shared" si="34"/>
        <v>-809592650.21961808</v>
      </c>
      <c r="AS84" s="12">
        <f t="shared" si="34"/>
        <v>-768762379.92076135</v>
      </c>
      <c r="AT84" s="12">
        <f t="shared" si="34"/>
        <v>-729526917.49913013</v>
      </c>
      <c r="AU84" s="12">
        <f t="shared" si="34"/>
        <v>-692055918.94063342</v>
      </c>
      <c r="AV84" s="12">
        <f t="shared" si="34"/>
        <v>-656497483.19896078</v>
      </c>
      <c r="AW84" s="12">
        <f t="shared" si="34"/>
        <v>-622976468.42773438</v>
      </c>
      <c r="AX84" s="12">
        <f t="shared" si="34"/>
        <v>-591593118.99762118</v>
      </c>
      <c r="AY84" s="12">
        <f t="shared" si="34"/>
        <v>-562422015.04016387</v>
      </c>
      <c r="AZ84" s="12">
        <f t="shared" si="34"/>
        <v>-535511350.8949163</v>
      </c>
      <c r="BA84" s="12">
        <f t="shared" si="34"/>
        <v>-510882543.68500108</v>
      </c>
      <c r="BB84" s="12">
        <f t="shared" si="38"/>
        <v>-488530168.42787629</v>
      </c>
      <c r="BC84" s="12">
        <f t="shared" si="38"/>
        <v>-468422211.70124894</v>
      </c>
      <c r="BD84" s="12">
        <f t="shared" si="38"/>
        <v>-450500632.00304109</v>
      </c>
      <c r="BE84" s="12">
        <f t="shared" si="38"/>
        <v>-434682211.6178956</v>
      </c>
      <c r="BF84" s="12">
        <f t="shared" si="38"/>
        <v>-420859682.05373019</v>
      </c>
      <c r="BG84" s="12">
        <f t="shared" si="38"/>
        <v>-408903102.93809551</v>
      </c>
      <c r="BH84" s="12">
        <f t="shared" si="38"/>
        <v>-398661472.64023811</v>
      </c>
      <c r="BI84" s="12">
        <f t="shared" si="38"/>
        <v>-389964547.76531482</v>
      </c>
      <c r="BJ84" s="12">
        <f t="shared" si="38"/>
        <v>-382624847.990206</v>
      </c>
      <c r="BK84" s="12">
        <f t="shared" si="38"/>
        <v>-376439822.40169227</v>
      </c>
      <c r="BL84" s="12">
        <f t="shared" si="38"/>
        <v>-371194153.47570831</v>
      </c>
      <c r="BM84" s="12">
        <f t="shared" si="38"/>
        <v>-366662175.01646668</v>
      </c>
      <c r="BN84" s="12">
        <f t="shared" si="38"/>
        <v>-362610380.67383003</v>
      </c>
      <c r="BO84" s="11">
        <f t="shared" si="38"/>
        <v>-358800000</v>
      </c>
      <c r="BQ84" s="16"/>
      <c r="BR84" s="11">
        <f t="shared" si="41"/>
        <v>0.39484820231404288</v>
      </c>
      <c r="BS84" s="12">
        <f t="shared" si="41"/>
        <v>0.39484820231404288</v>
      </c>
      <c r="BT84" s="12">
        <f t="shared" si="41"/>
        <v>0.39484820231404288</v>
      </c>
      <c r="BU84" s="12">
        <f t="shared" si="41"/>
        <v>0.39484820231404288</v>
      </c>
      <c r="BV84" s="12">
        <f t="shared" si="41"/>
        <v>0.39484820231404288</v>
      </c>
      <c r="BW84" s="12">
        <f t="shared" si="41"/>
        <v>0.39484820231404288</v>
      </c>
      <c r="BX84" s="12">
        <f t="shared" si="41"/>
        <v>0.39484820231404288</v>
      </c>
      <c r="BY84" s="12">
        <f t="shared" si="41"/>
        <v>0.39484820231404288</v>
      </c>
      <c r="BZ84" s="12">
        <f t="shared" si="41"/>
        <v>0.39484820231404288</v>
      </c>
      <c r="CA84" s="12">
        <f t="shared" si="41"/>
        <v>0.39484820231404288</v>
      </c>
      <c r="CB84" s="12">
        <f t="shared" si="41"/>
        <v>0.39484820231404288</v>
      </c>
      <c r="CC84" s="12">
        <f t="shared" si="41"/>
        <v>0.39484820231404288</v>
      </c>
      <c r="CD84" s="12">
        <f t="shared" si="41"/>
        <v>0.39484820231404288</v>
      </c>
      <c r="CE84" s="12">
        <f t="shared" si="41"/>
        <v>0.39484820231404288</v>
      </c>
      <c r="CF84" s="12">
        <f t="shared" si="41"/>
        <v>0.39484820231404288</v>
      </c>
      <c r="CG84" s="12">
        <f t="shared" si="39"/>
        <v>0.39484820231404288</v>
      </c>
      <c r="CH84" s="12">
        <f t="shared" si="39"/>
        <v>0.39484820231404288</v>
      </c>
      <c r="CI84" s="12">
        <f t="shared" si="39"/>
        <v>0.39484820231404288</v>
      </c>
      <c r="CJ84" s="12">
        <f t="shared" si="39"/>
        <v>0.39484820231404288</v>
      </c>
      <c r="CK84" s="12">
        <f t="shared" si="44"/>
        <v>0.39484820231404288</v>
      </c>
      <c r="CL84" s="12">
        <f t="shared" si="44"/>
        <v>0.39484820231404288</v>
      </c>
      <c r="CM84" s="12">
        <f t="shared" si="44"/>
        <v>0.39484820231404288</v>
      </c>
      <c r="CN84" s="12">
        <f t="shared" si="44"/>
        <v>0.39484820231404288</v>
      </c>
      <c r="CO84" s="12">
        <f t="shared" si="44"/>
        <v>0.39484820231404288</v>
      </c>
      <c r="CP84" s="12">
        <f t="shared" si="44"/>
        <v>0.39484820231404288</v>
      </c>
      <c r="CQ84" s="12">
        <f t="shared" si="44"/>
        <v>0.39484820231404288</v>
      </c>
      <c r="CR84" s="12">
        <f t="shared" si="44"/>
        <v>0.39484820231404288</v>
      </c>
      <c r="CS84" s="12">
        <f t="shared" si="44"/>
        <v>0.39484820231404288</v>
      </c>
      <c r="CT84" s="12">
        <f t="shared" si="44"/>
        <v>0.39484820231404288</v>
      </c>
      <c r="CU84" s="11">
        <f t="shared" si="44"/>
        <v>0.39484820231404288</v>
      </c>
      <c r="CW84" s="16"/>
      <c r="CX84" s="11">
        <f t="shared" si="42"/>
        <v>181.54553930578717</v>
      </c>
      <c r="CY84" s="12">
        <f t="shared" si="42"/>
        <v>173.80236989843223</v>
      </c>
      <c r="CZ84" s="12">
        <f t="shared" si="42"/>
        <v>166.10173652961259</v>
      </c>
      <c r="DA84" s="12">
        <f t="shared" si="42"/>
        <v>158.48564436725025</v>
      </c>
      <c r="DB84" s="12">
        <f t="shared" si="42"/>
        <v>150.99504458420557</v>
      </c>
      <c r="DC84" s="12">
        <f t="shared" si="42"/>
        <v>143.66932656230543</v>
      </c>
      <c r="DD84" s="12">
        <f t="shared" si="42"/>
        <v>136.54583268498888</v>
      </c>
      <c r="DE84" s="12">
        <f t="shared" si="42"/>
        <v>129.65940250902551</v>
      </c>
      <c r="DF84" s="12">
        <f t="shared" si="42"/>
        <v>123.04195250415093</v>
      </c>
      <c r="DG84" s="12">
        <f t="shared" si="42"/>
        <v>116.7220968355996</v>
      </c>
      <c r="DH84" s="12">
        <f t="shared" si="42"/>
        <v>110.72481386124794</v>
      </c>
      <c r="DI84" s="12">
        <f t="shared" si="42"/>
        <v>105.07116214746164</v>
      </c>
      <c r="DJ84" s="12">
        <f t="shared" si="42"/>
        <v>99.778048901909926</v>
      </c>
      <c r="DK84" s="12">
        <f t="shared" si="42"/>
        <v>94.858052803710592</v>
      </c>
      <c r="DL84" s="12">
        <f t="shared" si="42"/>
        <v>90.319302306380706</v>
      </c>
      <c r="DM84" s="12">
        <f t="shared" si="40"/>
        <v>86.165409620220998</v>
      </c>
      <c r="DN84" s="12">
        <f t="shared" si="40"/>
        <v>82.395459768102768</v>
      </c>
      <c r="DO84" s="12">
        <f t="shared" si="40"/>
        <v>79.004053368741012</v>
      </c>
      <c r="DP84" s="12">
        <f t="shared" si="40"/>
        <v>75.981401146962128</v>
      </c>
      <c r="DQ84" s="12">
        <f t="shared" si="40"/>
        <v>73.313467609441801</v>
      </c>
      <c r="DR84" s="12">
        <f t="shared" si="45"/>
        <v>70.982160860745594</v>
      </c>
      <c r="DS84" s="12">
        <f t="shared" si="45"/>
        <v>68.9655651678803</v>
      </c>
      <c r="DT84" s="12">
        <f t="shared" si="45"/>
        <v>67.238212607684261</v>
      </c>
      <c r="DU84" s="12">
        <f t="shared" si="45"/>
        <v>65.77138994257848</v>
      </c>
      <c r="DV84" s="12">
        <f t="shared" si="45"/>
        <v>64.53347675601708</v>
      </c>
      <c r="DW84" s="12">
        <f t="shared" si="45"/>
        <v>63.490310826913742</v>
      </c>
      <c r="DX84" s="12">
        <f t="shared" si="45"/>
        <v>62.605576718601441</v>
      </c>
      <c r="DY84" s="12">
        <f t="shared" si="45"/>
        <v>61.84121358825471</v>
      </c>
      <c r="DZ84" s="12">
        <f t="shared" si="45"/>
        <v>61.157838273232301</v>
      </c>
      <c r="EA84" s="11">
        <f t="shared" si="45"/>
        <v>60.515179768595715</v>
      </c>
    </row>
    <row r="85" spans="5:131" x14ac:dyDescent="0.3">
      <c r="E85" s="16"/>
      <c r="F85" s="11">
        <f t="shared" si="37"/>
        <v>300</v>
      </c>
      <c r="G85" s="12">
        <f t="shared" si="37"/>
        <v>287.20458331783192</v>
      </c>
      <c r="H85" s="12">
        <f t="shared" si="37"/>
        <v>274.47945650127753</v>
      </c>
      <c r="I85" s="12">
        <f t="shared" si="37"/>
        <v>261.89403216396988</v>
      </c>
      <c r="J85" s="12">
        <f t="shared" si="37"/>
        <v>249.51598121594657</v>
      </c>
      <c r="K85" s="12">
        <f t="shared" si="37"/>
        <v>237.41039374200534</v>
      </c>
      <c r="L85" s="12">
        <f t="shared" si="37"/>
        <v>225.63897720725134</v>
      </c>
      <c r="M85" s="12">
        <f t="shared" si="37"/>
        <v>214.25930321091454</v>
      </c>
      <c r="N85" s="12">
        <f t="shared" si="37"/>
        <v>203.32411301536513</v>
      </c>
      <c r="O85" s="12">
        <f t="shared" si="37"/>
        <v>192.88069089761242</v>
      </c>
      <c r="P85" s="12">
        <f t="shared" si="37"/>
        <v>182.97031304318864</v>
      </c>
      <c r="Q85" s="12">
        <f t="shared" si="37"/>
        <v>173.62777826859929</v>
      </c>
      <c r="R85" s="12">
        <f t="shared" si="36"/>
        <v>164.88102536165582</v>
      </c>
      <c r="S85" s="12">
        <f t="shared" si="36"/>
        <v>156.75084031219728</v>
      </c>
      <c r="T85" s="12">
        <f t="shared" si="36"/>
        <v>149.25065521040031</v>
      </c>
      <c r="U85" s="12">
        <f t="shared" si="36"/>
        <v>142.38643915412513</v>
      </c>
      <c r="V85" s="12">
        <f t="shared" si="36"/>
        <v>136.1566801638451</v>
      </c>
      <c r="W85" s="12">
        <f t="shared" si="36"/>
        <v>130.55245588106152</v>
      </c>
      <c r="X85" s="12">
        <f t="shared" si="36"/>
        <v>125.55758974443728</v>
      </c>
      <c r="Y85" s="12">
        <f t="shared" si="36"/>
        <v>121.14888841078471</v>
      </c>
      <c r="Z85" s="12">
        <f t="shared" si="36"/>
        <v>117.29645542188689</v>
      </c>
      <c r="AA85" s="12">
        <f t="shared" si="36"/>
        <v>113.96407551228972</v>
      </c>
      <c r="AB85" s="12">
        <f t="shared" si="36"/>
        <v>111.10966350062378</v>
      </c>
      <c r="AC85" s="12">
        <f t="shared" si="36"/>
        <v>108.68577139501528</v>
      </c>
      <c r="AD85" s="12">
        <f t="shared" si="36"/>
        <v>106.64014715446098</v>
      </c>
      <c r="AE85" s="12">
        <f t="shared" si="36"/>
        <v>104.91633846201009</v>
      </c>
      <c r="AF85" s="12">
        <f t="shared" si="36"/>
        <v>103.45433485945047</v>
      </c>
      <c r="AG85" s="12">
        <f t="shared" si="36"/>
        <v>102.19124164338538</v>
      </c>
      <c r="AH85" s="12">
        <f t="shared" si="43"/>
        <v>101.06197900608419</v>
      </c>
      <c r="AI85" s="11">
        <f t="shared" si="43"/>
        <v>100</v>
      </c>
      <c r="AK85" s="18"/>
      <c r="AL85" s="11">
        <f t="shared" si="34"/>
        <v>-1076400000</v>
      </c>
      <c r="AM85" s="12">
        <f t="shared" si="34"/>
        <v>-1030490044.9443809</v>
      </c>
      <c r="AN85" s="12">
        <f t="shared" si="34"/>
        <v>-984832289.92658353</v>
      </c>
      <c r="AO85" s="12">
        <f t="shared" si="34"/>
        <v>-939675787.4043237</v>
      </c>
      <c r="AP85" s="12">
        <f t="shared" si="34"/>
        <v>-895263340.60281622</v>
      </c>
      <c r="AQ85" s="12">
        <f t="shared" si="34"/>
        <v>-851828492.746315</v>
      </c>
      <c r="AR85" s="12">
        <f t="shared" si="34"/>
        <v>-809592650.21961784</v>
      </c>
      <c r="AS85" s="12">
        <f t="shared" si="34"/>
        <v>-768762379.92076123</v>
      </c>
      <c r="AT85" s="12">
        <f t="shared" si="34"/>
        <v>-729526917.49913013</v>
      </c>
      <c r="AU85" s="12">
        <f t="shared" si="34"/>
        <v>-692055918.94063342</v>
      </c>
      <c r="AV85" s="12">
        <f t="shared" si="34"/>
        <v>-656497483.19896078</v>
      </c>
      <c r="AW85" s="12">
        <f t="shared" si="34"/>
        <v>-622976468.42773426</v>
      </c>
      <c r="AX85" s="12">
        <f t="shared" si="34"/>
        <v>-591593118.99762106</v>
      </c>
      <c r="AY85" s="12">
        <f t="shared" si="34"/>
        <v>-562422015.04016387</v>
      </c>
      <c r="AZ85" s="12">
        <f t="shared" si="34"/>
        <v>-535511350.89491624</v>
      </c>
      <c r="BA85" s="12">
        <f t="shared" si="34"/>
        <v>-510882543.68500096</v>
      </c>
      <c r="BB85" s="12">
        <f t="shared" si="38"/>
        <v>-488530168.42787611</v>
      </c>
      <c r="BC85" s="12">
        <f t="shared" si="38"/>
        <v>-468422211.70124871</v>
      </c>
      <c r="BD85" s="12">
        <f t="shared" si="38"/>
        <v>-450500632.00304091</v>
      </c>
      <c r="BE85" s="12">
        <f t="shared" si="38"/>
        <v>-434682211.61789554</v>
      </c>
      <c r="BF85" s="12">
        <f t="shared" si="38"/>
        <v>-420859682.05373019</v>
      </c>
      <c r="BG85" s="12">
        <f t="shared" si="38"/>
        <v>-408903102.93809551</v>
      </c>
      <c r="BH85" s="12">
        <f t="shared" si="38"/>
        <v>-398661472.64023805</v>
      </c>
      <c r="BI85" s="12">
        <f t="shared" si="38"/>
        <v>-389964547.7653147</v>
      </c>
      <c r="BJ85" s="12">
        <f t="shared" si="38"/>
        <v>-382624847.99020588</v>
      </c>
      <c r="BK85" s="12">
        <f t="shared" si="38"/>
        <v>-376439822.40169221</v>
      </c>
      <c r="BL85" s="12">
        <f t="shared" si="38"/>
        <v>-371194153.47570825</v>
      </c>
      <c r="BM85" s="12">
        <f t="shared" si="38"/>
        <v>-366662175.01646668</v>
      </c>
      <c r="BN85" s="12">
        <f t="shared" si="38"/>
        <v>-362610380.67383003</v>
      </c>
      <c r="BO85" s="11">
        <f t="shared" si="38"/>
        <v>-358800000</v>
      </c>
      <c r="BQ85" s="16"/>
      <c r="BR85" s="11">
        <f t="shared" si="41"/>
        <v>0.39484845100749483</v>
      </c>
      <c r="BS85" s="12">
        <f t="shared" si="41"/>
        <v>0.39484845100749483</v>
      </c>
      <c r="BT85" s="12">
        <f t="shared" si="41"/>
        <v>0.39484845100749483</v>
      </c>
      <c r="BU85" s="12">
        <f t="shared" si="41"/>
        <v>0.39484845100749483</v>
      </c>
      <c r="BV85" s="12">
        <f t="shared" si="41"/>
        <v>0.39484845100749483</v>
      </c>
      <c r="BW85" s="12">
        <f t="shared" si="41"/>
        <v>0.39484845100749483</v>
      </c>
      <c r="BX85" s="12">
        <f t="shared" si="41"/>
        <v>0.39484845100749483</v>
      </c>
      <c r="BY85" s="12">
        <f t="shared" si="41"/>
        <v>0.39484845100749483</v>
      </c>
      <c r="BZ85" s="12">
        <f t="shared" si="41"/>
        <v>0.39484845100749483</v>
      </c>
      <c r="CA85" s="12">
        <f t="shared" si="41"/>
        <v>0.39484845100749483</v>
      </c>
      <c r="CB85" s="12">
        <f t="shared" si="41"/>
        <v>0.39484845100749483</v>
      </c>
      <c r="CC85" s="12">
        <f t="shared" si="41"/>
        <v>0.39484845100749483</v>
      </c>
      <c r="CD85" s="12">
        <f t="shared" si="41"/>
        <v>0.39484845100749483</v>
      </c>
      <c r="CE85" s="12">
        <f t="shared" si="41"/>
        <v>0.39484845100749483</v>
      </c>
      <c r="CF85" s="12">
        <f t="shared" si="41"/>
        <v>0.39484845100749483</v>
      </c>
      <c r="CG85" s="12">
        <f t="shared" si="39"/>
        <v>0.39484845100749483</v>
      </c>
      <c r="CH85" s="12">
        <f t="shared" si="39"/>
        <v>0.39484845100749483</v>
      </c>
      <c r="CI85" s="12">
        <f t="shared" si="39"/>
        <v>0.39484845100749483</v>
      </c>
      <c r="CJ85" s="12">
        <f t="shared" si="39"/>
        <v>0.39484845100749483</v>
      </c>
      <c r="CK85" s="12">
        <f t="shared" si="44"/>
        <v>0.39484845100749483</v>
      </c>
      <c r="CL85" s="12">
        <f t="shared" si="44"/>
        <v>0.39484845100749483</v>
      </c>
      <c r="CM85" s="12">
        <f t="shared" si="44"/>
        <v>0.39484845100749483</v>
      </c>
      <c r="CN85" s="12">
        <f t="shared" si="44"/>
        <v>0.39484845100749483</v>
      </c>
      <c r="CO85" s="12">
        <f t="shared" si="44"/>
        <v>0.39484845100749483</v>
      </c>
      <c r="CP85" s="12">
        <f t="shared" si="44"/>
        <v>0.39484845100749483</v>
      </c>
      <c r="CQ85" s="12">
        <f t="shared" si="44"/>
        <v>0.39484845100749483</v>
      </c>
      <c r="CR85" s="12">
        <f t="shared" si="44"/>
        <v>0.39484845100749483</v>
      </c>
      <c r="CS85" s="12">
        <f t="shared" si="44"/>
        <v>0.39484845100749483</v>
      </c>
      <c r="CT85" s="12">
        <f t="shared" si="44"/>
        <v>0.39484845100749483</v>
      </c>
      <c r="CU85" s="11">
        <f t="shared" si="44"/>
        <v>0.39484845100749483</v>
      </c>
      <c r="CW85" s="16"/>
      <c r="CX85" s="11">
        <f t="shared" si="42"/>
        <v>181.54546469775156</v>
      </c>
      <c r="CY85" s="12">
        <f t="shared" si="42"/>
        <v>173.80229847253298</v>
      </c>
      <c r="CZ85" s="12">
        <f t="shared" si="42"/>
        <v>166.101668268369</v>
      </c>
      <c r="DA85" s="12">
        <f t="shared" si="42"/>
        <v>158.48557923591932</v>
      </c>
      <c r="DB85" s="12">
        <f t="shared" si="42"/>
        <v>150.99498253121487</v>
      </c>
      <c r="DC85" s="12">
        <f t="shared" si="42"/>
        <v>143.66926751989507</v>
      </c>
      <c r="DD85" s="12">
        <f t="shared" si="42"/>
        <v>136.54577657005271</v>
      </c>
      <c r="DE85" s="12">
        <f t="shared" si="42"/>
        <v>129.65934922413973</v>
      </c>
      <c r="DF85" s="12">
        <f t="shared" si="42"/>
        <v>123.04190193877537</v>
      </c>
      <c r="DG85" s="12">
        <f t="shared" si="42"/>
        <v>116.72204886743474</v>
      </c>
      <c r="DH85" s="12">
        <f t="shared" si="42"/>
        <v>110.72476835772916</v>
      </c>
      <c r="DI85" s="12">
        <f t="shared" si="42"/>
        <v>105.07111896737008</v>
      </c>
      <c r="DJ85" s="12">
        <f t="shared" si="42"/>
        <v>99.778007897078538</v>
      </c>
      <c r="DK85" s="12">
        <f t="shared" si="42"/>
        <v>94.858013820802995</v>
      </c>
      <c r="DL85" s="12">
        <f t="shared" si="42"/>
        <v>90.319265188720053</v>
      </c>
      <c r="DM85" s="12">
        <f t="shared" si="40"/>
        <v>86.165374209645904</v>
      </c>
      <c r="DN85" s="12">
        <f t="shared" si="40"/>
        <v>82.395425906827953</v>
      </c>
      <c r="DO85" s="12">
        <f t="shared" si="40"/>
        <v>79.004020901200064</v>
      </c>
      <c r="DP85" s="12">
        <f t="shared" si="40"/>
        <v>75.981369921611687</v>
      </c>
      <c r="DQ85" s="12">
        <f t="shared" si="40"/>
        <v>73.313437480506508</v>
      </c>
      <c r="DR85" s="12">
        <f t="shared" si="45"/>
        <v>70.982131689885179</v>
      </c>
      <c r="DS85" s="12">
        <f t="shared" si="45"/>
        <v>68.96553682576095</v>
      </c>
      <c r="DT85" s="12">
        <f t="shared" si="45"/>
        <v>67.238184975438486</v>
      </c>
      <c r="DU85" s="12">
        <f t="shared" si="45"/>
        <v>65.771362913138788</v>
      </c>
      <c r="DV85" s="12">
        <f t="shared" si="45"/>
        <v>64.533450235310738</v>
      </c>
      <c r="DW85" s="12">
        <f t="shared" si="45"/>
        <v>63.490284734907348</v>
      </c>
      <c r="DX85" s="12">
        <f t="shared" si="45"/>
        <v>62.605550990185769</v>
      </c>
      <c r="DY85" s="12">
        <f t="shared" si="45"/>
        <v>61.84118817396206</v>
      </c>
      <c r="DZ85" s="12">
        <f t="shared" si="45"/>
        <v>61.157813139779883</v>
      </c>
      <c r="EA85" s="11">
        <f t="shared" si="45"/>
        <v>60.515154899250518</v>
      </c>
    </row>
    <row r="86" spans="5:131" x14ac:dyDescent="0.3">
      <c r="E86" s="16"/>
      <c r="F86" s="11">
        <f t="shared" si="37"/>
        <v>300</v>
      </c>
      <c r="G86" s="12">
        <f t="shared" si="37"/>
        <v>287.20458331783186</v>
      </c>
      <c r="H86" s="12">
        <f t="shared" si="37"/>
        <v>274.47945650127747</v>
      </c>
      <c r="I86" s="12">
        <f t="shared" si="37"/>
        <v>261.89403216396983</v>
      </c>
      <c r="J86" s="12">
        <f t="shared" si="37"/>
        <v>249.51598121594657</v>
      </c>
      <c r="K86" s="12">
        <f t="shared" si="37"/>
        <v>237.41039374200528</v>
      </c>
      <c r="L86" s="12">
        <f t="shared" si="37"/>
        <v>225.63897720725129</v>
      </c>
      <c r="M86" s="12">
        <f t="shared" si="37"/>
        <v>214.25930321091448</v>
      </c>
      <c r="N86" s="12">
        <f t="shared" si="37"/>
        <v>203.32411301536507</v>
      </c>
      <c r="O86" s="12">
        <f t="shared" si="37"/>
        <v>192.8806908976124</v>
      </c>
      <c r="P86" s="12">
        <f t="shared" si="37"/>
        <v>182.97031304318858</v>
      </c>
      <c r="Q86" s="12">
        <f t="shared" si="37"/>
        <v>173.62777826859926</v>
      </c>
      <c r="R86" s="12">
        <f t="shared" si="36"/>
        <v>164.88102536165579</v>
      </c>
      <c r="S86" s="12">
        <f t="shared" si="36"/>
        <v>156.75084031219725</v>
      </c>
      <c r="T86" s="12">
        <f t="shared" si="36"/>
        <v>149.25065521040028</v>
      </c>
      <c r="U86" s="12">
        <f t="shared" si="36"/>
        <v>142.38643915412513</v>
      </c>
      <c r="V86" s="12">
        <f t="shared" si="36"/>
        <v>136.15668016384507</v>
      </c>
      <c r="W86" s="12">
        <f t="shared" si="36"/>
        <v>130.55245588106152</v>
      </c>
      <c r="X86" s="12">
        <f t="shared" si="36"/>
        <v>125.55758974443724</v>
      </c>
      <c r="Y86" s="12">
        <f t="shared" si="36"/>
        <v>121.14888841078466</v>
      </c>
      <c r="Z86" s="12">
        <f t="shared" si="36"/>
        <v>117.29645542188688</v>
      </c>
      <c r="AA86" s="12">
        <f t="shared" si="36"/>
        <v>113.96407551228971</v>
      </c>
      <c r="AB86" s="12">
        <f t="shared" si="36"/>
        <v>111.10966350062375</v>
      </c>
      <c r="AC86" s="12">
        <f t="shared" si="36"/>
        <v>108.68577139501525</v>
      </c>
      <c r="AD86" s="12">
        <f t="shared" si="36"/>
        <v>106.64014715446095</v>
      </c>
      <c r="AE86" s="12">
        <f t="shared" si="36"/>
        <v>104.91633846201006</v>
      </c>
      <c r="AF86" s="12">
        <f t="shared" si="36"/>
        <v>103.45433485945046</v>
      </c>
      <c r="AG86" s="12">
        <f t="shared" si="36"/>
        <v>102.19124164338537</v>
      </c>
      <c r="AH86" s="12">
        <f t="shared" si="43"/>
        <v>101.06197900608419</v>
      </c>
      <c r="AI86" s="11">
        <f t="shared" si="43"/>
        <v>100</v>
      </c>
      <c r="AK86" s="18"/>
      <c r="AL86" s="11">
        <f t="shared" si="34"/>
        <v>-1076400000</v>
      </c>
      <c r="AM86" s="12">
        <f t="shared" si="34"/>
        <v>-1030490044.9443809</v>
      </c>
      <c r="AN86" s="12">
        <f t="shared" si="34"/>
        <v>-984832289.92658353</v>
      </c>
      <c r="AO86" s="12">
        <f t="shared" si="34"/>
        <v>-939675787.4043237</v>
      </c>
      <c r="AP86" s="12">
        <f t="shared" si="34"/>
        <v>-895263340.60281622</v>
      </c>
      <c r="AQ86" s="12">
        <f t="shared" si="34"/>
        <v>-851828492.746315</v>
      </c>
      <c r="AR86" s="12">
        <f t="shared" si="34"/>
        <v>-809592650.21961784</v>
      </c>
      <c r="AS86" s="12">
        <f t="shared" si="34"/>
        <v>-768762379.92076111</v>
      </c>
      <c r="AT86" s="12">
        <f t="shared" si="34"/>
        <v>-729526917.49912989</v>
      </c>
      <c r="AU86" s="12">
        <f t="shared" si="34"/>
        <v>-692055918.9406333</v>
      </c>
      <c r="AV86" s="12">
        <f t="shared" si="34"/>
        <v>-656497483.19896066</v>
      </c>
      <c r="AW86" s="12">
        <f t="shared" si="34"/>
        <v>-622976468.42773426</v>
      </c>
      <c r="AX86" s="12">
        <f t="shared" si="34"/>
        <v>-591593118.99762106</v>
      </c>
      <c r="AY86" s="12">
        <f t="shared" si="34"/>
        <v>-562422015.04016376</v>
      </c>
      <c r="AZ86" s="12">
        <f t="shared" si="34"/>
        <v>-535511350.89491624</v>
      </c>
      <c r="BA86" s="12">
        <f t="shared" si="34"/>
        <v>-510882543.68500084</v>
      </c>
      <c r="BB86" s="12">
        <f t="shared" si="38"/>
        <v>-488530168.42787611</v>
      </c>
      <c r="BC86" s="12">
        <f t="shared" si="38"/>
        <v>-468422211.70124871</v>
      </c>
      <c r="BD86" s="12">
        <f t="shared" si="38"/>
        <v>-450500632.00304079</v>
      </c>
      <c r="BE86" s="12">
        <f t="shared" si="38"/>
        <v>-434682211.61789536</v>
      </c>
      <c r="BF86" s="12">
        <f t="shared" si="38"/>
        <v>-420859682.05373013</v>
      </c>
      <c r="BG86" s="12">
        <f t="shared" si="38"/>
        <v>-408903102.93809545</v>
      </c>
      <c r="BH86" s="12">
        <f t="shared" si="38"/>
        <v>-398661472.64023799</v>
      </c>
      <c r="BI86" s="12">
        <f t="shared" si="38"/>
        <v>-389964547.76531464</v>
      </c>
      <c r="BJ86" s="12">
        <f t="shared" si="38"/>
        <v>-382624847.99020576</v>
      </c>
      <c r="BK86" s="12">
        <f t="shared" si="38"/>
        <v>-376439822.40169209</v>
      </c>
      <c r="BL86" s="12">
        <f t="shared" si="38"/>
        <v>-371194153.47570825</v>
      </c>
      <c r="BM86" s="12">
        <f t="shared" si="38"/>
        <v>-366662175.01646668</v>
      </c>
      <c r="BN86" s="12">
        <f t="shared" si="38"/>
        <v>-362610380.67383003</v>
      </c>
      <c r="BO86" s="11">
        <f t="shared" si="38"/>
        <v>-358800000</v>
      </c>
      <c r="BQ86" s="16"/>
      <c r="BR86" s="11">
        <f t="shared" si="41"/>
        <v>0.39485004616564395</v>
      </c>
      <c r="BS86" s="12">
        <f t="shared" si="41"/>
        <v>0.39485004616564395</v>
      </c>
      <c r="BT86" s="12">
        <f t="shared" si="41"/>
        <v>0.39485004616564395</v>
      </c>
      <c r="BU86" s="12">
        <f t="shared" si="41"/>
        <v>0.39485004616564395</v>
      </c>
      <c r="BV86" s="12">
        <f t="shared" si="41"/>
        <v>0.39485004616564395</v>
      </c>
      <c r="BW86" s="12">
        <f t="shared" si="41"/>
        <v>0.39485004616564395</v>
      </c>
      <c r="BX86" s="12">
        <f t="shared" si="41"/>
        <v>0.39485004616564395</v>
      </c>
      <c r="BY86" s="12">
        <f t="shared" si="41"/>
        <v>0.39485004616564395</v>
      </c>
      <c r="BZ86" s="12">
        <f t="shared" si="41"/>
        <v>0.39485004616564395</v>
      </c>
      <c r="CA86" s="12">
        <f t="shared" si="41"/>
        <v>0.39485004616564395</v>
      </c>
      <c r="CB86" s="12">
        <f t="shared" si="41"/>
        <v>0.39485004616564395</v>
      </c>
      <c r="CC86" s="12">
        <f t="shared" si="41"/>
        <v>0.39485004616564395</v>
      </c>
      <c r="CD86" s="12">
        <f t="shared" si="41"/>
        <v>0.39485004616564395</v>
      </c>
      <c r="CE86" s="12">
        <f t="shared" si="41"/>
        <v>0.39485004616564395</v>
      </c>
      <c r="CF86" s="12">
        <f t="shared" si="41"/>
        <v>0.39485004616564395</v>
      </c>
      <c r="CG86" s="12">
        <f t="shared" si="39"/>
        <v>0.39485004616564395</v>
      </c>
      <c r="CH86" s="12">
        <f t="shared" si="39"/>
        <v>0.39485004616564395</v>
      </c>
      <c r="CI86" s="12">
        <f t="shared" si="39"/>
        <v>0.39485004616564395</v>
      </c>
      <c r="CJ86" s="12">
        <f t="shared" si="39"/>
        <v>0.39485004616564395</v>
      </c>
      <c r="CK86" s="12">
        <f t="shared" si="44"/>
        <v>0.39485004616564395</v>
      </c>
      <c r="CL86" s="12">
        <f t="shared" si="44"/>
        <v>0.39485004616564395</v>
      </c>
      <c r="CM86" s="12">
        <f t="shared" si="44"/>
        <v>0.39485004616564395</v>
      </c>
      <c r="CN86" s="12">
        <f t="shared" si="44"/>
        <v>0.39485004616564395</v>
      </c>
      <c r="CO86" s="12">
        <f t="shared" si="44"/>
        <v>0.39485004616564395</v>
      </c>
      <c r="CP86" s="12">
        <f t="shared" si="44"/>
        <v>0.39485004616564395</v>
      </c>
      <c r="CQ86" s="12">
        <f t="shared" si="44"/>
        <v>0.39485004616564395</v>
      </c>
      <c r="CR86" s="12">
        <f t="shared" si="44"/>
        <v>0.39485004616564395</v>
      </c>
      <c r="CS86" s="12">
        <f t="shared" si="44"/>
        <v>0.39485004616564395</v>
      </c>
      <c r="CT86" s="12">
        <f t="shared" si="44"/>
        <v>0.39485004616564395</v>
      </c>
      <c r="CU86" s="11">
        <f t="shared" si="44"/>
        <v>0.39485004616564395</v>
      </c>
      <c r="CW86" s="16"/>
      <c r="CX86" s="11">
        <f t="shared" si="42"/>
        <v>181.54498615030681</v>
      </c>
      <c r="CY86" s="12">
        <f t="shared" si="42"/>
        <v>173.80184033580142</v>
      </c>
      <c r="CZ86" s="12">
        <f t="shared" si="42"/>
        <v>166.10123043022719</v>
      </c>
      <c r="DA86" s="12">
        <f t="shared" si="42"/>
        <v>158.4851614735197</v>
      </c>
      <c r="DB86" s="12">
        <f t="shared" si="42"/>
        <v>150.9945845137641</v>
      </c>
      <c r="DC86" s="12">
        <f t="shared" si="42"/>
        <v>143.66888881277077</v>
      </c>
      <c r="DD86" s="12">
        <f t="shared" si="42"/>
        <v>136.54541664019942</v>
      </c>
      <c r="DE86" s="12">
        <f t="shared" si="42"/>
        <v>129.65900744666615</v>
      </c>
      <c r="DF86" s="12">
        <f t="shared" si="42"/>
        <v>123.04157760465955</v>
      </c>
      <c r="DG86" s="12">
        <f t="shared" si="42"/>
        <v>116.72174119222882</v>
      </c>
      <c r="DH86" s="12">
        <f t="shared" si="42"/>
        <v>110.72447649114324</v>
      </c>
      <c r="DI86" s="12">
        <f t="shared" si="42"/>
        <v>105.07084200360464</v>
      </c>
      <c r="DJ86" s="12">
        <f t="shared" si="42"/>
        <v>99.777744885767277</v>
      </c>
      <c r="DK86" s="12">
        <f t="shared" si="42"/>
        <v>94.857763778422665</v>
      </c>
      <c r="DL86" s="12">
        <f t="shared" si="42"/>
        <v>90.319027110321102</v>
      </c>
      <c r="DM86" s="12">
        <f t="shared" si="40"/>
        <v>86.165147080757151</v>
      </c>
      <c r="DN86" s="12">
        <f t="shared" si="40"/>
        <v>82.395208715390012</v>
      </c>
      <c r="DO86" s="12">
        <f t="shared" si="40"/>
        <v>79.003812649386177</v>
      </c>
      <c r="DP86" s="12">
        <f t="shared" si="40"/>
        <v>75.981169637399191</v>
      </c>
      <c r="DQ86" s="12">
        <f t="shared" si="40"/>
        <v>73.313244228869877</v>
      </c>
      <c r="DR86" s="12">
        <f t="shared" si="45"/>
        <v>70.981944583488442</v>
      </c>
      <c r="DS86" s="12">
        <f t="shared" si="45"/>
        <v>68.965355035037177</v>
      </c>
      <c r="DT86" s="12">
        <f t="shared" si="45"/>
        <v>67.238007737953282</v>
      </c>
      <c r="DU86" s="12">
        <f t="shared" si="45"/>
        <v>65.771189542144839</v>
      </c>
      <c r="DV86" s="12">
        <f t="shared" si="45"/>
        <v>64.533280127410961</v>
      </c>
      <c r="DW86" s="12">
        <f t="shared" si="45"/>
        <v>63.490117376755052</v>
      </c>
      <c r="DX86" s="12">
        <f t="shared" si="45"/>
        <v>62.605385964160448</v>
      </c>
      <c r="DY86" s="12">
        <f t="shared" si="45"/>
        <v>61.841025162770173</v>
      </c>
      <c r="DZ86" s="12">
        <f t="shared" si="45"/>
        <v>61.157651929940499</v>
      </c>
      <c r="EA86" s="11">
        <f t="shared" si="45"/>
        <v>60.514995383435604</v>
      </c>
    </row>
    <row r="87" spans="5:131" x14ac:dyDescent="0.3">
      <c r="E87" s="16"/>
      <c r="F87" s="11">
        <f t="shared" si="37"/>
        <v>300</v>
      </c>
      <c r="G87" s="12">
        <f t="shared" si="37"/>
        <v>287.20458331783186</v>
      </c>
      <c r="H87" s="12">
        <f t="shared" si="37"/>
        <v>274.47945650127747</v>
      </c>
      <c r="I87" s="12">
        <f t="shared" si="37"/>
        <v>261.89403216396977</v>
      </c>
      <c r="J87" s="12">
        <f t="shared" si="37"/>
        <v>249.51598121594654</v>
      </c>
      <c r="K87" s="12">
        <f t="shared" si="37"/>
        <v>237.41039374200523</v>
      </c>
      <c r="L87" s="12">
        <f t="shared" si="37"/>
        <v>225.63897720725123</v>
      </c>
      <c r="M87" s="12">
        <f t="shared" si="37"/>
        <v>214.2593032109144</v>
      </c>
      <c r="N87" s="12">
        <f t="shared" si="37"/>
        <v>203.32411301536507</v>
      </c>
      <c r="O87" s="12">
        <f t="shared" si="37"/>
        <v>192.88069089761234</v>
      </c>
      <c r="P87" s="12">
        <f t="shared" si="37"/>
        <v>182.97031304318855</v>
      </c>
      <c r="Q87" s="12">
        <f t="shared" si="37"/>
        <v>173.62777826859923</v>
      </c>
      <c r="R87" s="12">
        <f t="shared" si="36"/>
        <v>164.88102536165576</v>
      </c>
      <c r="S87" s="12">
        <f t="shared" si="36"/>
        <v>156.7508403121972</v>
      </c>
      <c r="T87" s="12">
        <f t="shared" si="36"/>
        <v>149.25065521040023</v>
      </c>
      <c r="U87" s="12">
        <f t="shared" si="36"/>
        <v>142.3864391541251</v>
      </c>
      <c r="V87" s="12">
        <f t="shared" si="36"/>
        <v>136.15668016384504</v>
      </c>
      <c r="W87" s="12">
        <f t="shared" si="36"/>
        <v>130.55245588106152</v>
      </c>
      <c r="X87" s="12">
        <f t="shared" si="36"/>
        <v>125.55758974443722</v>
      </c>
      <c r="Y87" s="12">
        <f t="shared" si="36"/>
        <v>121.14888841078465</v>
      </c>
      <c r="Z87" s="12">
        <f t="shared" si="36"/>
        <v>117.29645542188686</v>
      </c>
      <c r="AA87" s="12">
        <f t="shared" si="36"/>
        <v>113.9640755122897</v>
      </c>
      <c r="AB87" s="12">
        <f t="shared" si="36"/>
        <v>111.10966350062375</v>
      </c>
      <c r="AC87" s="12">
        <f t="shared" si="36"/>
        <v>108.68577139501524</v>
      </c>
      <c r="AD87" s="12">
        <f t="shared" si="36"/>
        <v>106.64014715446092</v>
      </c>
      <c r="AE87" s="12">
        <f t="shared" si="36"/>
        <v>104.91633846201006</v>
      </c>
      <c r="AF87" s="12">
        <f t="shared" si="36"/>
        <v>103.45433485945043</v>
      </c>
      <c r="AG87" s="12">
        <f t="shared" si="36"/>
        <v>102.19124164338534</v>
      </c>
      <c r="AH87" s="12">
        <f t="shared" si="43"/>
        <v>101.06197900608419</v>
      </c>
      <c r="AI87" s="11">
        <f t="shared" si="43"/>
        <v>100</v>
      </c>
      <c r="AK87" s="18"/>
      <c r="AL87" s="11">
        <f t="shared" si="34"/>
        <v>-1076400000</v>
      </c>
      <c r="AM87" s="12">
        <f t="shared" si="34"/>
        <v>-1030490044.9443808</v>
      </c>
      <c r="AN87" s="12">
        <f t="shared" si="34"/>
        <v>-984832289.92658341</v>
      </c>
      <c r="AO87" s="12">
        <f t="shared" si="34"/>
        <v>-939675787.40432358</v>
      </c>
      <c r="AP87" s="12">
        <f t="shared" si="34"/>
        <v>-895263340.6028161</v>
      </c>
      <c r="AQ87" s="12">
        <f t="shared" si="34"/>
        <v>-851828492.74631464</v>
      </c>
      <c r="AR87" s="12">
        <f t="shared" si="34"/>
        <v>-809592650.21961737</v>
      </c>
      <c r="AS87" s="12">
        <f t="shared" si="34"/>
        <v>-768762379.92076075</v>
      </c>
      <c r="AT87" s="12">
        <f t="shared" si="34"/>
        <v>-729526917.49912965</v>
      </c>
      <c r="AU87" s="12">
        <f t="shared" si="34"/>
        <v>-692055918.94063294</v>
      </c>
      <c r="AV87" s="12">
        <f t="shared" si="34"/>
        <v>-656497483.19896042</v>
      </c>
      <c r="AW87" s="12">
        <f t="shared" si="34"/>
        <v>-622976468.42773402</v>
      </c>
      <c r="AX87" s="12">
        <f t="shared" si="34"/>
        <v>-591593118.99762082</v>
      </c>
      <c r="AY87" s="12">
        <f t="shared" si="34"/>
        <v>-562422015.04016352</v>
      </c>
      <c r="AZ87" s="12">
        <f t="shared" si="34"/>
        <v>-535511350.894916</v>
      </c>
      <c r="BA87" s="12">
        <f t="shared" si="34"/>
        <v>-510882543.68500078</v>
      </c>
      <c r="BB87" s="12">
        <f t="shared" si="38"/>
        <v>-488530168.427876</v>
      </c>
      <c r="BC87" s="12">
        <f t="shared" si="38"/>
        <v>-468422211.70124865</v>
      </c>
      <c r="BD87" s="12">
        <f t="shared" si="38"/>
        <v>-450500632.00304073</v>
      </c>
      <c r="BE87" s="12">
        <f t="shared" si="38"/>
        <v>-434682211.61789531</v>
      </c>
      <c r="BF87" s="12">
        <f t="shared" si="38"/>
        <v>-420859682.05373007</v>
      </c>
      <c r="BG87" s="12">
        <f t="shared" si="38"/>
        <v>-408903102.93809539</v>
      </c>
      <c r="BH87" s="12">
        <f t="shared" si="38"/>
        <v>-398661472.64023799</v>
      </c>
      <c r="BI87" s="12">
        <f t="shared" si="38"/>
        <v>-389964547.76531464</v>
      </c>
      <c r="BJ87" s="12">
        <f t="shared" si="38"/>
        <v>-382624847.99020571</v>
      </c>
      <c r="BK87" s="12">
        <f t="shared" si="38"/>
        <v>-376439822.40169197</v>
      </c>
      <c r="BL87" s="12">
        <f t="shared" si="38"/>
        <v>-371194153.47570813</v>
      </c>
      <c r="BM87" s="12">
        <f t="shared" si="38"/>
        <v>-366662175.01646656</v>
      </c>
      <c r="BN87" s="12">
        <f t="shared" si="38"/>
        <v>-362610380.67383003</v>
      </c>
      <c r="BO87" s="11">
        <f t="shared" si="38"/>
        <v>-358800000</v>
      </c>
      <c r="BQ87" s="16"/>
      <c r="BR87" s="11">
        <f t="shared" si="41"/>
        <v>0.39486027770820464</v>
      </c>
      <c r="BS87" s="12">
        <f t="shared" si="41"/>
        <v>0.39486027770820464</v>
      </c>
      <c r="BT87" s="12">
        <f t="shared" si="41"/>
        <v>0.39486027770820464</v>
      </c>
      <c r="BU87" s="12">
        <f t="shared" si="41"/>
        <v>0.39486027770820464</v>
      </c>
      <c r="BV87" s="12">
        <f t="shared" si="41"/>
        <v>0.39486027770820464</v>
      </c>
      <c r="BW87" s="12">
        <f t="shared" si="41"/>
        <v>0.39486027770820464</v>
      </c>
      <c r="BX87" s="12">
        <f t="shared" si="41"/>
        <v>0.39486027770820464</v>
      </c>
      <c r="BY87" s="12">
        <f t="shared" si="41"/>
        <v>0.39486027770820464</v>
      </c>
      <c r="BZ87" s="12">
        <f t="shared" si="41"/>
        <v>0.39486027770820464</v>
      </c>
      <c r="CA87" s="12">
        <f t="shared" si="41"/>
        <v>0.39486027770820464</v>
      </c>
      <c r="CB87" s="12">
        <f t="shared" si="41"/>
        <v>0.39486027770820464</v>
      </c>
      <c r="CC87" s="12">
        <f t="shared" si="41"/>
        <v>0.39486027770820464</v>
      </c>
      <c r="CD87" s="12">
        <f t="shared" si="41"/>
        <v>0.39486027770820464</v>
      </c>
      <c r="CE87" s="12">
        <f t="shared" si="41"/>
        <v>0.39486027770820464</v>
      </c>
      <c r="CF87" s="12">
        <f t="shared" si="41"/>
        <v>0.39486027770820464</v>
      </c>
      <c r="CG87" s="12">
        <f t="shared" si="39"/>
        <v>0.39486027770820464</v>
      </c>
      <c r="CH87" s="12">
        <f t="shared" si="39"/>
        <v>0.39486027770820464</v>
      </c>
      <c r="CI87" s="12">
        <f t="shared" si="39"/>
        <v>0.39486027770820464</v>
      </c>
      <c r="CJ87" s="12">
        <f t="shared" si="39"/>
        <v>0.39486027770820464</v>
      </c>
      <c r="CK87" s="12">
        <f t="shared" si="44"/>
        <v>0.39486027770820464</v>
      </c>
      <c r="CL87" s="12">
        <f t="shared" si="44"/>
        <v>0.39486027770820464</v>
      </c>
      <c r="CM87" s="12">
        <f t="shared" si="44"/>
        <v>0.39486027770820464</v>
      </c>
      <c r="CN87" s="12">
        <f t="shared" si="44"/>
        <v>0.39486027770820464</v>
      </c>
      <c r="CO87" s="12">
        <f t="shared" si="44"/>
        <v>0.39486027770820464</v>
      </c>
      <c r="CP87" s="12">
        <f t="shared" si="44"/>
        <v>0.39486027770820464</v>
      </c>
      <c r="CQ87" s="12">
        <f t="shared" si="44"/>
        <v>0.39486027770820464</v>
      </c>
      <c r="CR87" s="12">
        <f t="shared" si="44"/>
        <v>0.39486027770820464</v>
      </c>
      <c r="CS87" s="12">
        <f t="shared" si="44"/>
        <v>0.39486027770820464</v>
      </c>
      <c r="CT87" s="12">
        <f t="shared" si="44"/>
        <v>0.39486027770820464</v>
      </c>
      <c r="CU87" s="11">
        <f t="shared" si="44"/>
        <v>0.39486027770820464</v>
      </c>
      <c r="CW87" s="16"/>
      <c r="CX87" s="11">
        <f t="shared" si="42"/>
        <v>181.54191668753859</v>
      </c>
      <c r="CY87" s="12">
        <f t="shared" si="42"/>
        <v>173.79890178988359</v>
      </c>
      <c r="CZ87" s="12">
        <f t="shared" si="42"/>
        <v>166.09842208198594</v>
      </c>
      <c r="DA87" s="12">
        <f t="shared" si="42"/>
        <v>158.48248189358318</v>
      </c>
      <c r="DB87" s="12">
        <f t="shared" si="42"/>
        <v>150.9920315803827</v>
      </c>
      <c r="DC87" s="12">
        <f t="shared" si="42"/>
        <v>143.66645973822281</v>
      </c>
      <c r="DD87" s="12">
        <f t="shared" si="42"/>
        <v>136.54310800540074</v>
      </c>
      <c r="DE87" s="12">
        <f t="shared" si="42"/>
        <v>129.65681524348628</v>
      </c>
      <c r="DF87" s="12">
        <f t="shared" si="42"/>
        <v>123.03949728534361</v>
      </c>
      <c r="DG87" s="12">
        <f t="shared" si="42"/>
        <v>116.71976772523072</v>
      </c>
      <c r="DH87" s="12">
        <f t="shared" si="42"/>
        <v>110.72260442259797</v>
      </c>
      <c r="DI87" s="12">
        <f t="shared" si="42"/>
        <v>105.06906552360155</v>
      </c>
      <c r="DJ87" s="12">
        <f t="shared" si="42"/>
        <v>99.776057898538809</v>
      </c>
      <c r="DK87" s="12">
        <f t="shared" si="42"/>
        <v>94.856159975528556</v>
      </c>
      <c r="DL87" s="12">
        <f t="shared" si="42"/>
        <v>90.317500045890071</v>
      </c>
      <c r="DM87" s="12">
        <f t="shared" si="40"/>
        <v>86.163690247844869</v>
      </c>
      <c r="DN87" s="12">
        <f t="shared" si="40"/>
        <v>82.393815622521984</v>
      </c>
      <c r="DO87" s="12">
        <f t="shared" si="40"/>
        <v>79.002476896377416</v>
      </c>
      <c r="DP87" s="12">
        <f t="shared" si="40"/>
        <v>75.979884989575908</v>
      </c>
      <c r="DQ87" s="12">
        <f t="shared" si="40"/>
        <v>73.312004688861933</v>
      </c>
      <c r="DR87" s="12">
        <f t="shared" si="45"/>
        <v>70.980744459812556</v>
      </c>
      <c r="DS87" s="12">
        <f t="shared" si="45"/>
        <v>68.964189006748171</v>
      </c>
      <c r="DT87" s="12">
        <f t="shared" si="45"/>
        <v>67.23687091470228</v>
      </c>
      <c r="DU87" s="12">
        <f t="shared" si="45"/>
        <v>65.770077519049067</v>
      </c>
      <c r="DV87" s="12">
        <f t="shared" si="45"/>
        <v>64.532189034206667</v>
      </c>
      <c r="DW87" s="12">
        <f t="shared" si="45"/>
        <v>63.489043920772765</v>
      </c>
      <c r="DX87" s="12">
        <f t="shared" si="45"/>
        <v>62.604327466730233</v>
      </c>
      <c r="DY87" s="12">
        <f t="shared" si="45"/>
        <v>61.839979588731943</v>
      </c>
      <c r="DZ87" s="12">
        <f t="shared" si="45"/>
        <v>61.156617910001032</v>
      </c>
      <c r="EA87" s="11">
        <f t="shared" si="45"/>
        <v>60.513972229179537</v>
      </c>
    </row>
    <row r="88" spans="5:131" x14ac:dyDescent="0.3">
      <c r="E88" s="16"/>
      <c r="F88" s="11">
        <f t="shared" si="37"/>
        <v>300</v>
      </c>
      <c r="G88" s="12">
        <f t="shared" si="37"/>
        <v>287.20458331783186</v>
      </c>
      <c r="H88" s="12">
        <f t="shared" si="37"/>
        <v>274.47945650127747</v>
      </c>
      <c r="I88" s="12">
        <f t="shared" si="37"/>
        <v>261.89403216396977</v>
      </c>
      <c r="J88" s="12">
        <f t="shared" si="37"/>
        <v>249.51598121594657</v>
      </c>
      <c r="K88" s="12">
        <f t="shared" si="37"/>
        <v>237.41039374200523</v>
      </c>
      <c r="L88" s="12">
        <f t="shared" si="37"/>
        <v>225.63897720725126</v>
      </c>
      <c r="M88" s="12">
        <f t="shared" si="37"/>
        <v>214.25930321091442</v>
      </c>
      <c r="N88" s="12">
        <f t="shared" si="37"/>
        <v>203.32411301536507</v>
      </c>
      <c r="O88" s="12">
        <f t="shared" si="37"/>
        <v>192.88069089761234</v>
      </c>
      <c r="P88" s="12">
        <f t="shared" si="37"/>
        <v>182.97031304318853</v>
      </c>
      <c r="Q88" s="12">
        <f t="shared" si="37"/>
        <v>173.62777826859926</v>
      </c>
      <c r="R88" s="12">
        <f t="shared" si="36"/>
        <v>164.88102536165576</v>
      </c>
      <c r="S88" s="12">
        <f t="shared" si="36"/>
        <v>156.7508403121972</v>
      </c>
      <c r="T88" s="12">
        <f t="shared" si="36"/>
        <v>149.25065521040023</v>
      </c>
      <c r="U88" s="12">
        <f t="shared" si="36"/>
        <v>142.3864391541251</v>
      </c>
      <c r="V88" s="12">
        <f t="shared" si="36"/>
        <v>136.15668016384507</v>
      </c>
      <c r="W88" s="12">
        <f t="shared" si="36"/>
        <v>130.55245588106152</v>
      </c>
      <c r="X88" s="12">
        <f t="shared" si="36"/>
        <v>125.55758974443725</v>
      </c>
      <c r="Y88" s="12">
        <f t="shared" si="36"/>
        <v>121.14888841078468</v>
      </c>
      <c r="Z88" s="12">
        <f t="shared" si="36"/>
        <v>117.29645542188689</v>
      </c>
      <c r="AA88" s="12">
        <f t="shared" si="36"/>
        <v>113.9640755122897</v>
      </c>
      <c r="AB88" s="12">
        <f t="shared" si="36"/>
        <v>111.10966350062375</v>
      </c>
      <c r="AC88" s="12">
        <f t="shared" si="36"/>
        <v>108.68577139501524</v>
      </c>
      <c r="AD88" s="12">
        <f t="shared" si="36"/>
        <v>106.64014715446092</v>
      </c>
      <c r="AE88" s="12">
        <f t="shared" si="36"/>
        <v>104.91633846201006</v>
      </c>
      <c r="AF88" s="12">
        <f t="shared" si="36"/>
        <v>103.45433485945044</v>
      </c>
      <c r="AG88" s="12">
        <f t="shared" si="36"/>
        <v>102.19124164338534</v>
      </c>
      <c r="AH88" s="12">
        <f t="shared" si="43"/>
        <v>101.06197900608419</v>
      </c>
      <c r="AI88" s="11">
        <f t="shared" si="43"/>
        <v>100.00000000000001</v>
      </c>
      <c r="AK88" s="18"/>
      <c r="AL88" s="11">
        <f t="shared" si="34"/>
        <v>-1076400000</v>
      </c>
      <c r="AM88" s="12">
        <f t="shared" si="34"/>
        <v>-1030490044.9443809</v>
      </c>
      <c r="AN88" s="12">
        <f t="shared" si="34"/>
        <v>-984832289.92658353</v>
      </c>
      <c r="AO88" s="12">
        <f t="shared" si="34"/>
        <v>-939675787.40432358</v>
      </c>
      <c r="AP88" s="12">
        <f t="shared" si="34"/>
        <v>-895263340.6028161</v>
      </c>
      <c r="AQ88" s="12">
        <f t="shared" si="34"/>
        <v>-851828492.74631476</v>
      </c>
      <c r="AR88" s="12">
        <f t="shared" si="34"/>
        <v>-809592650.21961737</v>
      </c>
      <c r="AS88" s="12">
        <f t="shared" si="34"/>
        <v>-768762379.92076075</v>
      </c>
      <c r="AT88" s="12">
        <f t="shared" si="34"/>
        <v>-729526917.49912965</v>
      </c>
      <c r="AU88" s="12">
        <f t="shared" si="34"/>
        <v>-692055918.94063294</v>
      </c>
      <c r="AV88" s="12">
        <f t="shared" si="34"/>
        <v>-656497483.19896042</v>
      </c>
      <c r="AW88" s="12">
        <f t="shared" si="34"/>
        <v>-622976468.42773402</v>
      </c>
      <c r="AX88" s="12">
        <f t="shared" si="34"/>
        <v>-591593118.99762082</v>
      </c>
      <c r="AY88" s="12">
        <f t="shared" si="34"/>
        <v>-562422015.04016352</v>
      </c>
      <c r="AZ88" s="12">
        <f t="shared" si="34"/>
        <v>-535511350.894916</v>
      </c>
      <c r="BA88" s="12">
        <f t="shared" si="34"/>
        <v>-510882543.68500078</v>
      </c>
      <c r="BB88" s="12">
        <f t="shared" si="38"/>
        <v>-488530168.42787611</v>
      </c>
      <c r="BC88" s="12">
        <f t="shared" si="38"/>
        <v>-468422211.70124871</v>
      </c>
      <c r="BD88" s="12">
        <f t="shared" si="38"/>
        <v>-450500632.00304085</v>
      </c>
      <c r="BE88" s="12">
        <f t="shared" si="38"/>
        <v>-434682211.61789542</v>
      </c>
      <c r="BF88" s="12">
        <f t="shared" si="38"/>
        <v>-420859682.05373013</v>
      </c>
      <c r="BG88" s="12">
        <f t="shared" si="38"/>
        <v>-408903102.93809545</v>
      </c>
      <c r="BH88" s="12">
        <f t="shared" si="38"/>
        <v>-398661472.64023799</v>
      </c>
      <c r="BI88" s="12">
        <f t="shared" si="38"/>
        <v>-389964547.76531464</v>
      </c>
      <c r="BJ88" s="12">
        <f t="shared" si="38"/>
        <v>-382624847.99020576</v>
      </c>
      <c r="BK88" s="12">
        <f t="shared" si="38"/>
        <v>-376439822.40169209</v>
      </c>
      <c r="BL88" s="12">
        <f t="shared" si="38"/>
        <v>-371194153.47570813</v>
      </c>
      <c r="BM88" s="12">
        <f t="shared" si="38"/>
        <v>-366662175.01646656</v>
      </c>
      <c r="BN88" s="12">
        <f t="shared" si="38"/>
        <v>-362610380.67383003</v>
      </c>
      <c r="BO88" s="11">
        <f t="shared" si="38"/>
        <v>-358800000</v>
      </c>
      <c r="BQ88" s="16"/>
      <c r="BR88" s="11">
        <f t="shared" si="41"/>
        <v>0.39492590212780204</v>
      </c>
      <c r="BS88" s="12">
        <f t="shared" si="41"/>
        <v>0.39492590212780204</v>
      </c>
      <c r="BT88" s="12">
        <f t="shared" si="41"/>
        <v>0.39492590212780204</v>
      </c>
      <c r="BU88" s="12">
        <f t="shared" si="41"/>
        <v>0.39492590212780204</v>
      </c>
      <c r="BV88" s="12">
        <f t="shared" si="41"/>
        <v>0.39492590212780204</v>
      </c>
      <c r="BW88" s="12">
        <f t="shared" si="41"/>
        <v>0.39492590212780204</v>
      </c>
      <c r="BX88" s="12">
        <f t="shared" si="41"/>
        <v>0.39492590212780204</v>
      </c>
      <c r="BY88" s="12">
        <f t="shared" si="41"/>
        <v>0.39492590212780204</v>
      </c>
      <c r="BZ88" s="12">
        <f t="shared" si="41"/>
        <v>0.39492590212780204</v>
      </c>
      <c r="CA88" s="12">
        <f t="shared" si="41"/>
        <v>0.39492590212780204</v>
      </c>
      <c r="CB88" s="12">
        <f t="shared" si="41"/>
        <v>0.39492590212780204</v>
      </c>
      <c r="CC88" s="12">
        <f t="shared" si="41"/>
        <v>0.39492590212780204</v>
      </c>
      <c r="CD88" s="12">
        <f t="shared" si="41"/>
        <v>0.39492590212780204</v>
      </c>
      <c r="CE88" s="12">
        <f t="shared" si="41"/>
        <v>0.39492590212780204</v>
      </c>
      <c r="CF88" s="12">
        <f t="shared" si="41"/>
        <v>0.39492590212780204</v>
      </c>
      <c r="CG88" s="12">
        <f t="shared" si="39"/>
        <v>0.39492590212780204</v>
      </c>
      <c r="CH88" s="12">
        <f t="shared" si="39"/>
        <v>0.39492590212780204</v>
      </c>
      <c r="CI88" s="12">
        <f t="shared" si="39"/>
        <v>0.39492590212780204</v>
      </c>
      <c r="CJ88" s="12">
        <f t="shared" si="39"/>
        <v>0.39492590212780204</v>
      </c>
      <c r="CK88" s="12">
        <f t="shared" si="44"/>
        <v>0.39492590212780204</v>
      </c>
      <c r="CL88" s="12">
        <f t="shared" si="44"/>
        <v>0.39492590212780204</v>
      </c>
      <c r="CM88" s="12">
        <f t="shared" si="44"/>
        <v>0.39492590212780204</v>
      </c>
      <c r="CN88" s="12">
        <f t="shared" si="44"/>
        <v>0.39492590212780204</v>
      </c>
      <c r="CO88" s="12">
        <f t="shared" si="44"/>
        <v>0.39492590212780204</v>
      </c>
      <c r="CP88" s="12">
        <f t="shared" si="44"/>
        <v>0.39492590212780204</v>
      </c>
      <c r="CQ88" s="12">
        <f t="shared" si="44"/>
        <v>0.39492590212780204</v>
      </c>
      <c r="CR88" s="12">
        <f t="shared" si="44"/>
        <v>0.39492590212780204</v>
      </c>
      <c r="CS88" s="12">
        <f t="shared" si="44"/>
        <v>0.39492590212780204</v>
      </c>
      <c r="CT88" s="12">
        <f t="shared" si="44"/>
        <v>0.39492590212780204</v>
      </c>
      <c r="CU88" s="11">
        <f t="shared" si="44"/>
        <v>0.39492590212780204</v>
      </c>
      <c r="CW88" s="16"/>
      <c r="CX88" s="11">
        <f t="shared" si="42"/>
        <v>181.52222936165941</v>
      </c>
      <c r="CY88" s="12">
        <f t="shared" si="42"/>
        <v>173.78005415579764</v>
      </c>
      <c r="CZ88" s="12">
        <f t="shared" si="42"/>
        <v>166.08040952696166</v>
      </c>
      <c r="DA88" s="12">
        <f t="shared" si="42"/>
        <v>158.46529524972644</v>
      </c>
      <c r="DB88" s="12">
        <f t="shared" si="42"/>
        <v>150.97565723893516</v>
      </c>
      <c r="DC88" s="12">
        <f t="shared" si="42"/>
        <v>143.65087981892714</v>
      </c>
      <c r="DD88" s="12">
        <f t="shared" si="42"/>
        <v>136.528300578483</v>
      </c>
      <c r="DE88" s="12">
        <f t="shared" si="42"/>
        <v>129.64275460106978</v>
      </c>
      <c r="DF88" s="12">
        <f t="shared" si="42"/>
        <v>123.02615425843685</v>
      </c>
      <c r="DG88" s="12">
        <f t="shared" si="42"/>
        <v>116.70711004183906</v>
      </c>
      <c r="DH88" s="12">
        <f t="shared" si="42"/>
        <v>110.71059710200096</v>
      </c>
      <c r="DI88" s="12">
        <f t="shared" si="42"/>
        <v>105.05767130142672</v>
      </c>
      <c r="DJ88" s="12">
        <f t="shared" si="42"/>
        <v>99.765237676946867</v>
      </c>
      <c r="DK88" s="12">
        <f t="shared" si="42"/>
        <v>94.845873292611685</v>
      </c>
      <c r="DL88" s="12">
        <f t="shared" si="42"/>
        <v>90.307705558267386</v>
      </c>
      <c r="DM88" s="12">
        <f t="shared" si="40"/>
        <v>86.154346220416855</v>
      </c>
      <c r="DN88" s="12">
        <f t="shared" si="40"/>
        <v>82.384880419411957</v>
      </c>
      <c r="DO88" s="12">
        <f t="shared" si="40"/>
        <v>78.993909467233237</v>
      </c>
      <c r="DP88" s="12">
        <f t="shared" si="40"/>
        <v>75.971645345622917</v>
      </c>
      <c r="DQ88" s="12">
        <f t="shared" si="40"/>
        <v>73.30405436337513</v>
      </c>
      <c r="DR88" s="12">
        <f t="shared" si="45"/>
        <v>70.973046948004693</v>
      </c>
      <c r="DS88" s="12">
        <f t="shared" si="45"/>
        <v>68.956710180437739</v>
      </c>
      <c r="DT88" s="12">
        <f t="shared" si="45"/>
        <v>67.229579407523403</v>
      </c>
      <c r="DU88" s="12">
        <f t="shared" si="45"/>
        <v>65.762945078382785</v>
      </c>
      <c r="DV88" s="12">
        <f t="shared" si="45"/>
        <v>64.525190836443883</v>
      </c>
      <c r="DW88" s="12">
        <f t="shared" si="45"/>
        <v>63.482158846954924</v>
      </c>
      <c r="DX88" s="12">
        <f t="shared" si="45"/>
        <v>62.597538336050263</v>
      </c>
      <c r="DY88" s="12">
        <f t="shared" si="45"/>
        <v>61.833273347811172</v>
      </c>
      <c r="DZ88" s="12">
        <f t="shared" si="45"/>
        <v>61.149985776285398</v>
      </c>
      <c r="EA88" s="11">
        <f t="shared" si="45"/>
        <v>60.507409787219807</v>
      </c>
    </row>
    <row r="89" spans="5:131" x14ac:dyDescent="0.3">
      <c r="E89" s="16"/>
      <c r="F89" s="11">
        <f t="shared" si="37"/>
        <v>300</v>
      </c>
      <c r="G89" s="12">
        <f t="shared" si="37"/>
        <v>287.20458331783186</v>
      </c>
      <c r="H89" s="12">
        <f t="shared" si="37"/>
        <v>274.47945650127747</v>
      </c>
      <c r="I89" s="12">
        <f t="shared" si="37"/>
        <v>261.89403216396977</v>
      </c>
      <c r="J89" s="12">
        <f t="shared" si="37"/>
        <v>249.51598121594657</v>
      </c>
      <c r="K89" s="12">
        <f t="shared" si="37"/>
        <v>237.41039374200528</v>
      </c>
      <c r="L89" s="12">
        <f t="shared" si="37"/>
        <v>225.63897720725129</v>
      </c>
      <c r="M89" s="12">
        <f t="shared" si="37"/>
        <v>214.25930321091442</v>
      </c>
      <c r="N89" s="12">
        <f t="shared" si="37"/>
        <v>203.3241130153651</v>
      </c>
      <c r="O89" s="12">
        <f t="shared" si="37"/>
        <v>192.8806908976124</v>
      </c>
      <c r="P89" s="12">
        <f t="shared" si="37"/>
        <v>182.97031304318855</v>
      </c>
      <c r="Q89" s="12">
        <f t="shared" si="37"/>
        <v>173.62777826859929</v>
      </c>
      <c r="R89" s="12">
        <f t="shared" si="36"/>
        <v>164.88102536165582</v>
      </c>
      <c r="S89" s="12">
        <f t="shared" si="36"/>
        <v>156.75084031219723</v>
      </c>
      <c r="T89" s="12">
        <f t="shared" si="36"/>
        <v>149.25065521040028</v>
      </c>
      <c r="U89" s="12">
        <f t="shared" si="36"/>
        <v>142.3864391541251</v>
      </c>
      <c r="V89" s="12">
        <f t="shared" si="36"/>
        <v>136.15668016384507</v>
      </c>
      <c r="W89" s="12">
        <f t="shared" si="36"/>
        <v>130.55245588106155</v>
      </c>
      <c r="X89" s="12">
        <f t="shared" si="36"/>
        <v>125.55758974443727</v>
      </c>
      <c r="Y89" s="12">
        <f t="shared" si="36"/>
        <v>121.14888841078469</v>
      </c>
      <c r="Z89" s="12">
        <f t="shared" si="36"/>
        <v>117.29645542188689</v>
      </c>
      <c r="AA89" s="12">
        <f t="shared" si="36"/>
        <v>113.9640755122897</v>
      </c>
      <c r="AB89" s="12">
        <f t="shared" si="36"/>
        <v>111.10966350062377</v>
      </c>
      <c r="AC89" s="12">
        <f t="shared" si="36"/>
        <v>108.68577139501525</v>
      </c>
      <c r="AD89" s="12">
        <f t="shared" si="36"/>
        <v>106.64014715446092</v>
      </c>
      <c r="AE89" s="12">
        <f t="shared" si="36"/>
        <v>104.91633846201006</v>
      </c>
      <c r="AF89" s="12">
        <f t="shared" si="36"/>
        <v>103.45433485945046</v>
      </c>
      <c r="AG89" s="12">
        <f t="shared" si="36"/>
        <v>102.19124164338535</v>
      </c>
      <c r="AH89" s="12">
        <f t="shared" si="43"/>
        <v>101.06197900608419</v>
      </c>
      <c r="AI89" s="11">
        <f t="shared" si="43"/>
        <v>100.00000000000001</v>
      </c>
      <c r="AK89" s="18"/>
      <c r="AL89" s="11">
        <f t="shared" si="34"/>
        <v>-1076400000</v>
      </c>
      <c r="AM89" s="12">
        <f t="shared" si="34"/>
        <v>-1030490044.9443809</v>
      </c>
      <c r="AN89" s="12">
        <f t="shared" si="34"/>
        <v>-984832289.92658353</v>
      </c>
      <c r="AO89" s="12">
        <f t="shared" si="34"/>
        <v>-939675787.4043237</v>
      </c>
      <c r="AP89" s="12">
        <f t="shared" si="34"/>
        <v>-895263340.60281622</v>
      </c>
      <c r="AQ89" s="12">
        <f t="shared" si="34"/>
        <v>-851828492.746315</v>
      </c>
      <c r="AR89" s="12">
        <f t="shared" si="34"/>
        <v>-809592650.21961784</v>
      </c>
      <c r="AS89" s="12">
        <f t="shared" si="34"/>
        <v>-768762379.92076111</v>
      </c>
      <c r="AT89" s="12">
        <f t="shared" si="34"/>
        <v>-729526917.49912989</v>
      </c>
      <c r="AU89" s="12">
        <f t="shared" si="34"/>
        <v>-692055918.9406333</v>
      </c>
      <c r="AV89" s="12">
        <f t="shared" si="34"/>
        <v>-656497483.19896066</v>
      </c>
      <c r="AW89" s="12">
        <f t="shared" si="34"/>
        <v>-622976468.42773426</v>
      </c>
      <c r="AX89" s="12">
        <f t="shared" si="34"/>
        <v>-591593118.99762106</v>
      </c>
      <c r="AY89" s="12">
        <f t="shared" si="34"/>
        <v>-562422015.04016376</v>
      </c>
      <c r="AZ89" s="12">
        <f t="shared" si="34"/>
        <v>-535511350.89491624</v>
      </c>
      <c r="BA89" s="12">
        <f t="shared" si="34"/>
        <v>-510882543.68500084</v>
      </c>
      <c r="BB89" s="12">
        <f t="shared" si="38"/>
        <v>-488530168.42787611</v>
      </c>
      <c r="BC89" s="12">
        <f t="shared" si="38"/>
        <v>-468422211.70124882</v>
      </c>
      <c r="BD89" s="12">
        <f t="shared" si="38"/>
        <v>-450500632.00304097</v>
      </c>
      <c r="BE89" s="12">
        <f t="shared" si="38"/>
        <v>-434682211.61789548</v>
      </c>
      <c r="BF89" s="12">
        <f t="shared" si="38"/>
        <v>-420859682.05373013</v>
      </c>
      <c r="BG89" s="12">
        <f t="shared" si="38"/>
        <v>-408903102.93809545</v>
      </c>
      <c r="BH89" s="12">
        <f t="shared" si="38"/>
        <v>-398661472.64023799</v>
      </c>
      <c r="BI89" s="12">
        <f t="shared" si="38"/>
        <v>-389964547.76531464</v>
      </c>
      <c r="BJ89" s="12">
        <f t="shared" si="38"/>
        <v>-382624847.99020576</v>
      </c>
      <c r="BK89" s="12">
        <f t="shared" si="38"/>
        <v>-376439822.40169209</v>
      </c>
      <c r="BL89" s="12">
        <f t="shared" si="38"/>
        <v>-371194153.47570825</v>
      </c>
      <c r="BM89" s="12">
        <f t="shared" si="38"/>
        <v>-366662175.01646668</v>
      </c>
      <c r="BN89" s="12">
        <f t="shared" si="38"/>
        <v>-362610380.67383003</v>
      </c>
      <c r="BO89" s="11">
        <f t="shared" si="38"/>
        <v>-358800000</v>
      </c>
      <c r="BQ89" s="16"/>
      <c r="BR89" s="11">
        <f t="shared" si="41"/>
        <v>0.39534673185434266</v>
      </c>
      <c r="BS89" s="12">
        <f t="shared" si="41"/>
        <v>0.39534673185434266</v>
      </c>
      <c r="BT89" s="12">
        <f t="shared" si="41"/>
        <v>0.39534673185434266</v>
      </c>
      <c r="BU89" s="12">
        <f t="shared" si="41"/>
        <v>0.39534673185434266</v>
      </c>
      <c r="BV89" s="12">
        <f t="shared" si="41"/>
        <v>0.39534673185434266</v>
      </c>
      <c r="BW89" s="12">
        <f t="shared" si="41"/>
        <v>0.39534673185434266</v>
      </c>
      <c r="BX89" s="12">
        <f t="shared" si="41"/>
        <v>0.39534673185434266</v>
      </c>
      <c r="BY89" s="12">
        <f t="shared" si="41"/>
        <v>0.39534673185434266</v>
      </c>
      <c r="BZ89" s="12">
        <f t="shared" si="41"/>
        <v>0.39534673185434266</v>
      </c>
      <c r="CA89" s="12">
        <f t="shared" si="41"/>
        <v>0.39534673185434266</v>
      </c>
      <c r="CB89" s="12">
        <f t="shared" si="41"/>
        <v>0.39534673185434266</v>
      </c>
      <c r="CC89" s="12">
        <f t="shared" si="41"/>
        <v>0.39534673185434266</v>
      </c>
      <c r="CD89" s="12">
        <f t="shared" si="41"/>
        <v>0.39534673185434266</v>
      </c>
      <c r="CE89" s="12">
        <f t="shared" si="41"/>
        <v>0.39534673185434266</v>
      </c>
      <c r="CF89" s="12">
        <f t="shared" si="41"/>
        <v>0.39534673185434266</v>
      </c>
      <c r="CG89" s="12">
        <f t="shared" si="39"/>
        <v>0.39534673185434266</v>
      </c>
      <c r="CH89" s="12">
        <f t="shared" si="39"/>
        <v>0.39534673185434266</v>
      </c>
      <c r="CI89" s="12">
        <f t="shared" si="39"/>
        <v>0.39534673185434266</v>
      </c>
      <c r="CJ89" s="12">
        <f t="shared" si="39"/>
        <v>0.39534673185434266</v>
      </c>
      <c r="CK89" s="12">
        <f t="shared" si="44"/>
        <v>0.39534673185434266</v>
      </c>
      <c r="CL89" s="12">
        <f t="shared" si="44"/>
        <v>0.39534673185434266</v>
      </c>
      <c r="CM89" s="12">
        <f t="shared" si="44"/>
        <v>0.39534673185434266</v>
      </c>
      <c r="CN89" s="12">
        <f t="shared" si="44"/>
        <v>0.39534673185434266</v>
      </c>
      <c r="CO89" s="12">
        <f t="shared" si="44"/>
        <v>0.39534673185434266</v>
      </c>
      <c r="CP89" s="12">
        <f t="shared" si="44"/>
        <v>0.39534673185434266</v>
      </c>
      <c r="CQ89" s="12">
        <f t="shared" si="44"/>
        <v>0.39534673185434266</v>
      </c>
      <c r="CR89" s="12">
        <f t="shared" si="44"/>
        <v>0.39534673185434266</v>
      </c>
      <c r="CS89" s="12">
        <f t="shared" si="44"/>
        <v>0.39534673185434266</v>
      </c>
      <c r="CT89" s="12">
        <f t="shared" si="44"/>
        <v>0.39534673185434266</v>
      </c>
      <c r="CU89" s="11">
        <f t="shared" si="44"/>
        <v>0.39534673185434266</v>
      </c>
      <c r="CW89" s="16"/>
      <c r="CX89" s="11">
        <f t="shared" si="42"/>
        <v>181.39598044369723</v>
      </c>
      <c r="CY89" s="12">
        <f t="shared" si="42"/>
        <v>173.6591899295388</v>
      </c>
      <c r="CZ89" s="12">
        <f t="shared" si="42"/>
        <v>165.96490041234119</v>
      </c>
      <c r="DA89" s="12">
        <f t="shared" si="42"/>
        <v>158.35508245578825</v>
      </c>
      <c r="DB89" s="12">
        <f t="shared" si="42"/>
        <v>150.87065349679253</v>
      </c>
      <c r="DC89" s="12">
        <f t="shared" si="42"/>
        <v>143.55097046785082</v>
      </c>
      <c r="DD89" s="12">
        <f t="shared" si="42"/>
        <v>136.433344989408</v>
      </c>
      <c r="DE89" s="12">
        <f t="shared" si="42"/>
        <v>129.55258791709076</v>
      </c>
      <c r="DF89" s="12">
        <f t="shared" si="42"/>
        <v>122.9405894275575</v>
      </c>
      <c r="DG89" s="12">
        <f t="shared" si="42"/>
        <v>116.6259401134337</v>
      </c>
      <c r="DH89" s="12">
        <f t="shared" si="42"/>
        <v>110.63359775519797</v>
      </c>
      <c r="DI89" s="12">
        <f t="shared" si="42"/>
        <v>104.98460357097811</v>
      </c>
      <c r="DJ89" s="12">
        <f t="shared" si="42"/>
        <v>99.695850840132209</v>
      </c>
      <c r="DK89" s="12">
        <f t="shared" si="42"/>
        <v>94.779907879348116</v>
      </c>
      <c r="DL89" s="12">
        <f t="shared" si="42"/>
        <v>90.244896445849221</v>
      </c>
      <c r="DM89" s="12">
        <f t="shared" si="40"/>
        <v>86.094425774164534</v>
      </c>
      <c r="DN89" s="12">
        <f t="shared" si="40"/>
        <v>82.327581640931925</v>
      </c>
      <c r="DO89" s="12">
        <f t="shared" si="40"/>
        <v>78.938969112925619</v>
      </c>
      <c r="DP89" s="12">
        <f t="shared" si="40"/>
        <v>75.918806979465671</v>
      </c>
      <c r="DQ89" s="12">
        <f t="shared" si="40"/>
        <v>73.253071309794521</v>
      </c>
      <c r="DR89" s="12">
        <f t="shared" si="45"/>
        <v>70.923685112745318</v>
      </c>
      <c r="DS89" s="12">
        <f t="shared" si="45"/>
        <v>68.908750709704449</v>
      </c>
      <c r="DT89" s="12">
        <f t="shared" si="45"/>
        <v>67.182821158216427</v>
      </c>
      <c r="DU89" s="12">
        <f t="shared" si="45"/>
        <v>65.717206874927768</v>
      </c>
      <c r="DV89" s="12">
        <f t="shared" si="45"/>
        <v>64.480313492478615</v>
      </c>
      <c r="DW89" s="12">
        <f t="shared" si="45"/>
        <v>63.438006932930321</v>
      </c>
      <c r="DX89" s="12">
        <f t="shared" si="45"/>
        <v>62.554001676601928</v>
      </c>
      <c r="DY89" s="12">
        <f t="shared" si="45"/>
        <v>61.790268235535557</v>
      </c>
      <c r="DZ89" s="12">
        <f t="shared" si="45"/>
        <v>61.107455891296617</v>
      </c>
      <c r="EA89" s="11">
        <f t="shared" si="45"/>
        <v>60.465326814565742</v>
      </c>
    </row>
    <row r="90" spans="5:131" x14ac:dyDescent="0.3">
      <c r="E90" s="16"/>
      <c r="F90" s="11">
        <f t="shared" si="37"/>
        <v>300</v>
      </c>
      <c r="G90" s="12">
        <f t="shared" si="37"/>
        <v>287.20458331783192</v>
      </c>
      <c r="H90" s="12">
        <f t="shared" si="37"/>
        <v>274.47945650127747</v>
      </c>
      <c r="I90" s="12">
        <f t="shared" si="37"/>
        <v>261.89403216396983</v>
      </c>
      <c r="J90" s="12">
        <f t="shared" si="37"/>
        <v>249.51598121594657</v>
      </c>
      <c r="K90" s="12">
        <f t="shared" si="37"/>
        <v>237.41039374200528</v>
      </c>
      <c r="L90" s="12">
        <f t="shared" si="37"/>
        <v>225.63897720725134</v>
      </c>
      <c r="M90" s="12">
        <f t="shared" si="37"/>
        <v>214.25930321091445</v>
      </c>
      <c r="N90" s="12">
        <f t="shared" si="37"/>
        <v>203.32411301536513</v>
      </c>
      <c r="O90" s="12">
        <f t="shared" si="37"/>
        <v>192.88069089761245</v>
      </c>
      <c r="P90" s="12">
        <f t="shared" si="37"/>
        <v>182.97031304318858</v>
      </c>
      <c r="Q90" s="12">
        <f t="shared" si="37"/>
        <v>173.62777826859929</v>
      </c>
      <c r="R90" s="12">
        <f t="shared" si="37"/>
        <v>164.88102536165582</v>
      </c>
      <c r="S90" s="12">
        <f t="shared" si="37"/>
        <v>156.75084031219725</v>
      </c>
      <c r="T90" s="12">
        <f t="shared" si="37"/>
        <v>149.25065521040028</v>
      </c>
      <c r="U90" s="12">
        <f t="shared" si="37"/>
        <v>142.38643915412513</v>
      </c>
      <c r="V90" s="12">
        <f t="shared" ref="V90:AG93" si="46">CH90*V89+DN90</f>
        <v>136.1566801638451</v>
      </c>
      <c r="W90" s="12">
        <f t="shared" si="46"/>
        <v>130.55245588106158</v>
      </c>
      <c r="X90" s="12">
        <f t="shared" si="46"/>
        <v>125.55758974443728</v>
      </c>
      <c r="Y90" s="12">
        <f t="shared" si="46"/>
        <v>121.14888841078472</v>
      </c>
      <c r="Z90" s="12">
        <f t="shared" si="46"/>
        <v>117.2964554218869</v>
      </c>
      <c r="AA90" s="12">
        <f t="shared" si="46"/>
        <v>113.96407551228972</v>
      </c>
      <c r="AB90" s="12">
        <f t="shared" si="46"/>
        <v>111.10966350062378</v>
      </c>
      <c r="AC90" s="12">
        <f t="shared" si="46"/>
        <v>108.68577139501525</v>
      </c>
      <c r="AD90" s="12">
        <f t="shared" si="46"/>
        <v>106.64014715446093</v>
      </c>
      <c r="AE90" s="12">
        <f t="shared" si="46"/>
        <v>104.91633846201009</v>
      </c>
      <c r="AF90" s="12">
        <f t="shared" si="46"/>
        <v>103.45433485945046</v>
      </c>
      <c r="AG90" s="12">
        <f t="shared" si="46"/>
        <v>102.19124164338535</v>
      </c>
      <c r="AH90" s="12">
        <f t="shared" si="43"/>
        <v>101.0619790060842</v>
      </c>
      <c r="AI90" s="11">
        <f t="shared" si="43"/>
        <v>100.00000000000001</v>
      </c>
      <c r="AK90" s="18"/>
      <c r="AL90" s="11">
        <f t="shared" si="34"/>
        <v>-1076400000</v>
      </c>
      <c r="AM90" s="12">
        <f t="shared" si="34"/>
        <v>-1030490044.9443809</v>
      </c>
      <c r="AN90" s="12">
        <f t="shared" si="34"/>
        <v>-984832289.92658353</v>
      </c>
      <c r="AO90" s="12">
        <f t="shared" si="34"/>
        <v>-939675787.4043237</v>
      </c>
      <c r="AP90" s="12">
        <f t="shared" si="34"/>
        <v>-895263340.60281622</v>
      </c>
      <c r="AQ90" s="12">
        <f t="shared" si="34"/>
        <v>-851828492.746315</v>
      </c>
      <c r="AR90" s="12">
        <f t="shared" si="34"/>
        <v>-809592650.21961784</v>
      </c>
      <c r="AS90" s="12">
        <f t="shared" si="34"/>
        <v>-768762379.92076111</v>
      </c>
      <c r="AT90" s="12">
        <f t="shared" si="34"/>
        <v>-729526917.49912989</v>
      </c>
      <c r="AU90" s="12">
        <f t="shared" si="34"/>
        <v>-692055918.9406333</v>
      </c>
      <c r="AV90" s="12">
        <f t="shared" si="34"/>
        <v>-656497483.19896066</v>
      </c>
      <c r="AW90" s="12">
        <f t="shared" si="34"/>
        <v>-622976468.42773426</v>
      </c>
      <c r="AX90" s="12">
        <f t="shared" si="34"/>
        <v>-591593118.99762106</v>
      </c>
      <c r="AY90" s="12">
        <f t="shared" si="34"/>
        <v>-562422015.04016376</v>
      </c>
      <c r="AZ90" s="12">
        <f t="shared" si="34"/>
        <v>-535511350.89491624</v>
      </c>
      <c r="BA90" s="12">
        <f t="shared" si="34"/>
        <v>-510882543.68500084</v>
      </c>
      <c r="BB90" s="12">
        <f t="shared" si="38"/>
        <v>-488530168.42787611</v>
      </c>
      <c r="BC90" s="12">
        <f t="shared" si="38"/>
        <v>-468422211.70124882</v>
      </c>
      <c r="BD90" s="12">
        <f t="shared" si="38"/>
        <v>-450500632.00304097</v>
      </c>
      <c r="BE90" s="12">
        <f t="shared" si="38"/>
        <v>-434682211.6178956</v>
      </c>
      <c r="BF90" s="12">
        <f t="shared" si="38"/>
        <v>-420859682.05373019</v>
      </c>
      <c r="BG90" s="12">
        <f t="shared" si="38"/>
        <v>-408903102.93809551</v>
      </c>
      <c r="BH90" s="12">
        <f t="shared" si="38"/>
        <v>-398661472.64023811</v>
      </c>
      <c r="BI90" s="12">
        <f t="shared" si="38"/>
        <v>-389964547.7653147</v>
      </c>
      <c r="BJ90" s="12">
        <f t="shared" si="38"/>
        <v>-382624847.99020576</v>
      </c>
      <c r="BK90" s="12">
        <f t="shared" si="38"/>
        <v>-376439822.40169221</v>
      </c>
      <c r="BL90" s="12">
        <f t="shared" si="38"/>
        <v>-371194153.47570825</v>
      </c>
      <c r="BM90" s="12">
        <f t="shared" si="38"/>
        <v>-366662175.01646668</v>
      </c>
      <c r="BN90" s="12">
        <f t="shared" si="38"/>
        <v>-362610380.67383003</v>
      </c>
      <c r="BO90" s="11">
        <f t="shared" si="38"/>
        <v>-358800000</v>
      </c>
      <c r="BQ90" s="16"/>
      <c r="BR90" s="11">
        <f t="shared" si="41"/>
        <v>0.39804206615396576</v>
      </c>
      <c r="BS90" s="12">
        <f t="shared" si="41"/>
        <v>0.39804206615396576</v>
      </c>
      <c r="BT90" s="12">
        <f t="shared" si="41"/>
        <v>0.39804206615396576</v>
      </c>
      <c r="BU90" s="12">
        <f t="shared" si="41"/>
        <v>0.39804206615396576</v>
      </c>
      <c r="BV90" s="12">
        <f t="shared" si="41"/>
        <v>0.39804206615396576</v>
      </c>
      <c r="BW90" s="12">
        <f t="shared" si="41"/>
        <v>0.39804206615396576</v>
      </c>
      <c r="BX90" s="12">
        <f t="shared" si="41"/>
        <v>0.39804206615396576</v>
      </c>
      <c r="BY90" s="12">
        <f t="shared" si="41"/>
        <v>0.39804206615396576</v>
      </c>
      <c r="BZ90" s="12">
        <f t="shared" si="41"/>
        <v>0.39804206615396576</v>
      </c>
      <c r="CA90" s="12">
        <f t="shared" si="41"/>
        <v>0.39804206615396576</v>
      </c>
      <c r="CB90" s="12">
        <f t="shared" si="41"/>
        <v>0.39804206615396576</v>
      </c>
      <c r="CC90" s="12">
        <f t="shared" si="41"/>
        <v>0.39804206615396576</v>
      </c>
      <c r="CD90" s="12">
        <f t="shared" si="41"/>
        <v>0.39804206615396576</v>
      </c>
      <c r="CE90" s="12">
        <f t="shared" si="41"/>
        <v>0.39804206615396576</v>
      </c>
      <c r="CF90" s="12">
        <f t="shared" si="41"/>
        <v>0.39804206615396576</v>
      </c>
      <c r="CG90" s="12">
        <f t="shared" si="39"/>
        <v>0.39804206615396576</v>
      </c>
      <c r="CH90" s="12">
        <f t="shared" si="39"/>
        <v>0.39804206615396576</v>
      </c>
      <c r="CI90" s="12">
        <f t="shared" si="39"/>
        <v>0.39804206615396576</v>
      </c>
      <c r="CJ90" s="12">
        <f t="shared" si="39"/>
        <v>0.39804206615396576</v>
      </c>
      <c r="CK90" s="12">
        <f t="shared" si="44"/>
        <v>0.39804206615396576</v>
      </c>
      <c r="CL90" s="12">
        <f t="shared" si="44"/>
        <v>0.39804206615396576</v>
      </c>
      <c r="CM90" s="12">
        <f t="shared" si="44"/>
        <v>0.39804206615396576</v>
      </c>
      <c r="CN90" s="12">
        <f t="shared" si="44"/>
        <v>0.39804206615396576</v>
      </c>
      <c r="CO90" s="12">
        <f t="shared" si="44"/>
        <v>0.39804206615396576</v>
      </c>
      <c r="CP90" s="12">
        <f t="shared" si="44"/>
        <v>0.39804206615396576</v>
      </c>
      <c r="CQ90" s="12">
        <f t="shared" si="44"/>
        <v>0.39804206615396576</v>
      </c>
      <c r="CR90" s="12">
        <f t="shared" si="44"/>
        <v>0.39804206615396576</v>
      </c>
      <c r="CS90" s="12">
        <f t="shared" si="44"/>
        <v>0.39804206615396576</v>
      </c>
      <c r="CT90" s="12">
        <f t="shared" si="44"/>
        <v>0.39804206615396576</v>
      </c>
      <c r="CU90" s="11">
        <f t="shared" si="44"/>
        <v>0.39804206615396576</v>
      </c>
      <c r="CW90" s="16"/>
      <c r="CX90" s="11">
        <f t="shared" si="42"/>
        <v>180.5873801538103</v>
      </c>
      <c r="CY90" s="12">
        <f t="shared" si="42"/>
        <v>172.88507756511331</v>
      </c>
      <c r="CZ90" s="12">
        <f t="shared" si="42"/>
        <v>165.22508651869143</v>
      </c>
      <c r="DA90" s="12">
        <f t="shared" si="42"/>
        <v>157.64919048803014</v>
      </c>
      <c r="DB90" s="12">
        <f t="shared" si="42"/>
        <v>150.1981245143171</v>
      </c>
      <c r="DC90" s="12">
        <f t="shared" si="42"/>
        <v>142.91107009051098</v>
      </c>
      <c r="DD90" s="12">
        <f t="shared" si="42"/>
        <v>135.82517251480945</v>
      </c>
      <c r="DE90" s="12">
        <f t="shared" si="42"/>
        <v>128.97508746813304</v>
      </c>
      <c r="DF90" s="12">
        <f t="shared" si="42"/>
        <v>122.39256297180677</v>
      </c>
      <c r="DG90" s="12">
        <f t="shared" si="42"/>
        <v>116.10606217152238</v>
      </c>
      <c r="DH90" s="12">
        <f t="shared" si="42"/>
        <v>110.14043159463991</v>
      </c>
      <c r="DI90" s="12">
        <f t="shared" si="42"/>
        <v>104.51661866484341</v>
      </c>
      <c r="DJ90" s="12">
        <f t="shared" si="42"/>
        <v>99.251441357117912</v>
      </c>
      <c r="DK90" s="12">
        <f t="shared" si="42"/>
        <v>94.357411962959929</v>
      </c>
      <c r="DL90" s="12">
        <f t="shared" si="42"/>
        <v>89.842616035619415</v>
      </c>
      <c r="DM90" s="12">
        <f t="shared" si="40"/>
        <v>85.710646720911228</v>
      </c>
      <c r="DN90" s="12">
        <f t="shared" si="40"/>
        <v>81.960593870763518</v>
      </c>
      <c r="DO90" s="12">
        <f t="shared" si="40"/>
        <v>78.587086600689375</v>
      </c>
      <c r="DP90" s="12">
        <f t="shared" si="40"/>
        <v>75.580387301249488</v>
      </c>
      <c r="DQ90" s="12">
        <f t="shared" si="40"/>
        <v>72.926534555499742</v>
      </c>
      <c r="DR90" s="12">
        <f t="shared" si="45"/>
        <v>70.607531953222505</v>
      </c>
      <c r="DS90" s="12">
        <f t="shared" si="45"/>
        <v>68.601579428051352</v>
      </c>
      <c r="DT90" s="12">
        <f t="shared" si="45"/>
        <v>66.883343471163627</v>
      </c>
      <c r="DU90" s="12">
        <f t="shared" si="45"/>
        <v>65.42426238740579</v>
      </c>
      <c r="DV90" s="12">
        <f t="shared" si="45"/>
        <v>64.192882646136354</v>
      </c>
      <c r="DW90" s="12">
        <f t="shared" si="45"/>
        <v>63.155222327282821</v>
      </c>
      <c r="DX90" s="12">
        <f t="shared" si="45"/>
        <v>62.27515765941056</v>
      </c>
      <c r="DY90" s="12">
        <f t="shared" si="45"/>
        <v>61.514828676813067</v>
      </c>
      <c r="DZ90" s="12">
        <f t="shared" si="45"/>
        <v>60.835060072893739</v>
      </c>
      <c r="EA90" s="11">
        <f t="shared" si="45"/>
        <v>60.195793384603434</v>
      </c>
    </row>
    <row r="91" spans="5:131" x14ac:dyDescent="0.3">
      <c r="E91" s="16"/>
      <c r="F91" s="11">
        <f t="shared" ref="F91:U93" si="47">BR91*F90+CX91</f>
        <v>300</v>
      </c>
      <c r="G91" s="12">
        <f t="shared" si="47"/>
        <v>287.20458331783192</v>
      </c>
      <c r="H91" s="12">
        <f t="shared" si="47"/>
        <v>274.47945650127747</v>
      </c>
      <c r="I91" s="12">
        <f t="shared" si="47"/>
        <v>261.89403216396983</v>
      </c>
      <c r="J91" s="12">
        <f t="shared" si="47"/>
        <v>249.51598121594657</v>
      </c>
      <c r="K91" s="12">
        <f t="shared" si="47"/>
        <v>237.41039374200531</v>
      </c>
      <c r="L91" s="12">
        <f t="shared" si="47"/>
        <v>225.63897720725134</v>
      </c>
      <c r="M91" s="12">
        <f t="shared" si="47"/>
        <v>214.25930321091448</v>
      </c>
      <c r="N91" s="12">
        <f t="shared" si="47"/>
        <v>203.32411301536516</v>
      </c>
      <c r="O91" s="12">
        <f t="shared" si="47"/>
        <v>192.88069089761245</v>
      </c>
      <c r="P91" s="12">
        <f t="shared" si="47"/>
        <v>182.97031304318858</v>
      </c>
      <c r="Q91" s="12">
        <f t="shared" si="47"/>
        <v>173.62777826859929</v>
      </c>
      <c r="R91" s="12">
        <f t="shared" si="47"/>
        <v>164.88102536165582</v>
      </c>
      <c r="S91" s="12">
        <f t="shared" si="47"/>
        <v>156.75084031219728</v>
      </c>
      <c r="T91" s="12">
        <f t="shared" si="47"/>
        <v>149.25065521040028</v>
      </c>
      <c r="U91" s="12">
        <f t="shared" si="47"/>
        <v>142.38643915412513</v>
      </c>
      <c r="V91" s="12">
        <f t="shared" si="46"/>
        <v>136.1566801638451</v>
      </c>
      <c r="W91" s="12">
        <f t="shared" si="46"/>
        <v>130.55245588106158</v>
      </c>
      <c r="X91" s="12">
        <f t="shared" si="46"/>
        <v>125.55758974443729</v>
      </c>
      <c r="Y91" s="12">
        <f t="shared" si="46"/>
        <v>121.14888841078474</v>
      </c>
      <c r="Z91" s="12">
        <f t="shared" si="46"/>
        <v>117.29645542188692</v>
      </c>
      <c r="AA91" s="12">
        <f t="shared" si="46"/>
        <v>113.96407551228972</v>
      </c>
      <c r="AB91" s="12">
        <f t="shared" si="46"/>
        <v>111.10966350062378</v>
      </c>
      <c r="AC91" s="12">
        <f t="shared" si="46"/>
        <v>108.68577139501525</v>
      </c>
      <c r="AD91" s="12">
        <f t="shared" si="46"/>
        <v>106.64014715446095</v>
      </c>
      <c r="AE91" s="12">
        <f t="shared" si="46"/>
        <v>104.91633846201009</v>
      </c>
      <c r="AF91" s="12">
        <f t="shared" si="46"/>
        <v>103.45433485945046</v>
      </c>
      <c r="AG91" s="12">
        <f t="shared" si="46"/>
        <v>102.19124164338535</v>
      </c>
      <c r="AH91" s="12">
        <f t="shared" si="43"/>
        <v>101.06197900608419</v>
      </c>
      <c r="AI91" s="11">
        <f t="shared" si="43"/>
        <v>100</v>
      </c>
      <c r="AK91" s="18"/>
      <c r="AL91" s="11">
        <f t="shared" si="34"/>
        <v>-1076400000</v>
      </c>
      <c r="AM91" s="12">
        <f t="shared" si="34"/>
        <v>-1030490044.9443809</v>
      </c>
      <c r="AN91" s="12">
        <f t="shared" si="34"/>
        <v>-984832289.92658353</v>
      </c>
      <c r="AO91" s="12">
        <f t="shared" si="34"/>
        <v>-939675787.4043237</v>
      </c>
      <c r="AP91" s="12">
        <f t="shared" si="34"/>
        <v>-895263340.60281622</v>
      </c>
      <c r="AQ91" s="12">
        <f t="shared" si="34"/>
        <v>-851828492.746315</v>
      </c>
      <c r="AR91" s="12">
        <f t="shared" si="34"/>
        <v>-809592650.21961784</v>
      </c>
      <c r="AS91" s="12">
        <f t="shared" si="34"/>
        <v>-768762379.92076111</v>
      </c>
      <c r="AT91" s="12">
        <f t="shared" si="34"/>
        <v>-729526917.49913013</v>
      </c>
      <c r="AU91" s="12">
        <f t="shared" si="34"/>
        <v>-692055918.9406333</v>
      </c>
      <c r="AV91" s="12">
        <f t="shared" si="34"/>
        <v>-656497483.19896066</v>
      </c>
      <c r="AW91" s="12">
        <f t="shared" si="34"/>
        <v>-622976468.42773426</v>
      </c>
      <c r="AX91" s="12">
        <f t="shared" si="34"/>
        <v>-591593118.99762106</v>
      </c>
      <c r="AY91" s="12">
        <f t="shared" si="34"/>
        <v>-562422015.04016376</v>
      </c>
      <c r="AZ91" s="12">
        <f t="shared" si="34"/>
        <v>-535511350.89491624</v>
      </c>
      <c r="BA91" s="12">
        <f t="shared" si="34"/>
        <v>-510882543.68500084</v>
      </c>
      <c r="BB91" s="12">
        <f t="shared" si="38"/>
        <v>-488530168.42787611</v>
      </c>
      <c r="BC91" s="12">
        <f t="shared" si="38"/>
        <v>-468422211.70124882</v>
      </c>
      <c r="BD91" s="12">
        <f t="shared" si="38"/>
        <v>-450500632.00304097</v>
      </c>
      <c r="BE91" s="12">
        <f t="shared" si="38"/>
        <v>-434682211.6178956</v>
      </c>
      <c r="BF91" s="12">
        <f t="shared" si="38"/>
        <v>-420859682.05373019</v>
      </c>
      <c r="BG91" s="12">
        <f t="shared" si="38"/>
        <v>-408903102.93809551</v>
      </c>
      <c r="BH91" s="12">
        <f t="shared" si="38"/>
        <v>-398661472.64023811</v>
      </c>
      <c r="BI91" s="12">
        <f t="shared" si="38"/>
        <v>-389964547.7653147</v>
      </c>
      <c r="BJ91" s="12">
        <f t="shared" si="38"/>
        <v>-382624847.99020588</v>
      </c>
      <c r="BK91" s="12">
        <f t="shared" si="38"/>
        <v>-376439822.40169221</v>
      </c>
      <c r="BL91" s="12">
        <f t="shared" si="38"/>
        <v>-371194153.47570825</v>
      </c>
      <c r="BM91" s="12">
        <f t="shared" si="38"/>
        <v>-366662175.01646668</v>
      </c>
      <c r="BN91" s="12">
        <f t="shared" si="38"/>
        <v>-362610380.67383003</v>
      </c>
      <c r="BO91" s="11">
        <f t="shared" si="38"/>
        <v>-358800000</v>
      </c>
      <c r="BQ91" s="16"/>
      <c r="BR91" s="11">
        <f t="shared" si="41"/>
        <v>0.41517002114434032</v>
      </c>
      <c r="BS91" s="12">
        <f t="shared" si="41"/>
        <v>0.41517002114434032</v>
      </c>
      <c r="BT91" s="12">
        <f t="shared" si="41"/>
        <v>0.41517002114434032</v>
      </c>
      <c r="BU91" s="12">
        <f t="shared" si="41"/>
        <v>0.41517002114434032</v>
      </c>
      <c r="BV91" s="12">
        <f t="shared" si="41"/>
        <v>0.41517002114434032</v>
      </c>
      <c r="BW91" s="12">
        <f t="shared" si="41"/>
        <v>0.41517002114434032</v>
      </c>
      <c r="BX91" s="12">
        <f t="shared" si="41"/>
        <v>0.41517002114434032</v>
      </c>
      <c r="BY91" s="12">
        <f t="shared" si="41"/>
        <v>0.41517002114434032</v>
      </c>
      <c r="BZ91" s="12">
        <f t="shared" si="41"/>
        <v>0.41517002114434032</v>
      </c>
      <c r="CA91" s="12">
        <f t="shared" si="41"/>
        <v>0.41517002114434032</v>
      </c>
      <c r="CB91" s="12">
        <f t="shared" si="41"/>
        <v>0.41517002114434032</v>
      </c>
      <c r="CC91" s="12">
        <f t="shared" si="41"/>
        <v>0.41517002114434032</v>
      </c>
      <c r="CD91" s="12">
        <f t="shared" si="41"/>
        <v>0.41517002114434032</v>
      </c>
      <c r="CE91" s="12">
        <f t="shared" si="41"/>
        <v>0.41517002114434032</v>
      </c>
      <c r="CF91" s="12">
        <f t="shared" si="41"/>
        <v>0.41517002114434032</v>
      </c>
      <c r="CG91" s="12">
        <f t="shared" si="39"/>
        <v>0.41517002114434032</v>
      </c>
      <c r="CH91" s="12">
        <f t="shared" si="39"/>
        <v>0.41517002114434032</v>
      </c>
      <c r="CI91" s="12">
        <f t="shared" si="39"/>
        <v>0.41517002114434032</v>
      </c>
      <c r="CJ91" s="12">
        <f t="shared" si="39"/>
        <v>0.41517002114434032</v>
      </c>
      <c r="CK91" s="12">
        <f t="shared" si="44"/>
        <v>0.41517002114434032</v>
      </c>
      <c r="CL91" s="12">
        <f t="shared" si="44"/>
        <v>0.41517002114434032</v>
      </c>
      <c r="CM91" s="12">
        <f t="shared" si="44"/>
        <v>0.41517002114434032</v>
      </c>
      <c r="CN91" s="12">
        <f t="shared" si="44"/>
        <v>0.41517002114434032</v>
      </c>
      <c r="CO91" s="12">
        <f t="shared" si="44"/>
        <v>0.41517002114434032</v>
      </c>
      <c r="CP91" s="12">
        <f t="shared" si="44"/>
        <v>0.41517002114434032</v>
      </c>
      <c r="CQ91" s="12">
        <f t="shared" si="44"/>
        <v>0.41517002114434032</v>
      </c>
      <c r="CR91" s="12">
        <f t="shared" si="44"/>
        <v>0.41517002114434032</v>
      </c>
      <c r="CS91" s="12">
        <f t="shared" si="44"/>
        <v>0.41517002114434032</v>
      </c>
      <c r="CT91" s="12">
        <f t="shared" si="44"/>
        <v>0.41517002114434032</v>
      </c>
      <c r="CU91" s="11">
        <f t="shared" si="44"/>
        <v>0.41517002114434032</v>
      </c>
      <c r="CW91" s="16"/>
      <c r="CX91" s="11">
        <f t="shared" si="42"/>
        <v>175.44899365669792</v>
      </c>
      <c r="CY91" s="12">
        <f t="shared" si="42"/>
        <v>167.9658503890162</v>
      </c>
      <c r="CZ91" s="12">
        <f t="shared" si="42"/>
        <v>160.52381474195508</v>
      </c>
      <c r="DA91" s="12">
        <f t="shared" si="42"/>
        <v>153.16348129287792</v>
      </c>
      <c r="DB91" s="12">
        <f t="shared" si="42"/>
        <v>145.9244260186712</v>
      </c>
      <c r="DC91" s="12">
        <f t="shared" si="42"/>
        <v>138.84471555225082</v>
      </c>
      <c r="DD91" s="12">
        <f t="shared" si="42"/>
        <v>131.9604382691295</v>
      </c>
      <c r="DE91" s="12">
        <f t="shared" si="42"/>
        <v>125.30526376646749</v>
      </c>
      <c r="DF91" s="12">
        <f t="shared" si="42"/>
        <v>118.91003671562177</v>
      </c>
      <c r="DG91" s="12">
        <f t="shared" si="42"/>
        <v>112.80241037931572</v>
      </c>
      <c r="DH91" s="12">
        <f t="shared" si="42"/>
        <v>107.00652430826142</v>
      </c>
      <c r="DI91" s="12">
        <f t="shared" si="42"/>
        <v>101.5427298935801</v>
      </c>
      <c r="DJ91" s="12">
        <f t="shared" si="42"/>
        <v>96.427366575956668</v>
      </c>
      <c r="DK91" s="12">
        <f t="shared" si="42"/>
        <v>91.672590625389219</v>
      </c>
      <c r="DL91" s="12">
        <f t="shared" si="42"/>
        <v>87.28625753089176</v>
      </c>
      <c r="DM91" s="12">
        <f t="shared" si="40"/>
        <v>83.27185819983967</v>
      </c>
      <c r="DN91" s="12">
        <f t="shared" si="40"/>
        <v>79.628508381278337</v>
      </c>
      <c r="DO91" s="12">
        <f t="shared" si="40"/>
        <v>76.350990012475677</v>
      </c>
      <c r="DP91" s="12">
        <f t="shared" si="40"/>
        <v>73.429842555406864</v>
      </c>
      <c r="DQ91" s="12">
        <f t="shared" si="40"/>
        <v>70.851501847665915</v>
      </c>
      <c r="DR91" s="12">
        <f t="shared" si="45"/>
        <v>68.598483544225957</v>
      </c>
      <c r="DS91" s="12">
        <f t="shared" si="45"/>
        <v>66.649607872157205</v>
      </c>
      <c r="DT91" s="12">
        <f t="shared" si="45"/>
        <v>64.980262155729278</v>
      </c>
      <c r="DU91" s="12">
        <f t="shared" si="45"/>
        <v>63.562697386857835</v>
      </c>
      <c r="DV91" s="12">
        <f t="shared" si="45"/>
        <v>62.366355005507842</v>
      </c>
      <c r="DW91" s="12">
        <f t="shared" si="45"/>
        <v>61.358220004350599</v>
      </c>
      <c r="DX91" s="12">
        <f t="shared" si="45"/>
        <v>60.503196468378754</v>
      </c>
      <c r="DY91" s="12">
        <f t="shared" si="45"/>
        <v>59.764501689534676</v>
      </c>
      <c r="DZ91" s="12">
        <f t="shared" si="45"/>
        <v>59.104075045239341</v>
      </c>
      <c r="EA91" s="11">
        <f t="shared" si="45"/>
        <v>58.482997885565972</v>
      </c>
    </row>
    <row r="92" spans="5:131" x14ac:dyDescent="0.3">
      <c r="E92" s="16"/>
      <c r="F92" s="11">
        <f t="shared" si="47"/>
        <v>300</v>
      </c>
      <c r="G92" s="12">
        <f t="shared" si="47"/>
        <v>287.20458331783192</v>
      </c>
      <c r="H92" s="12">
        <f t="shared" si="47"/>
        <v>274.47945650127747</v>
      </c>
      <c r="I92" s="12">
        <f t="shared" si="47"/>
        <v>261.89403216396983</v>
      </c>
      <c r="J92" s="12">
        <f t="shared" si="47"/>
        <v>249.51598121594657</v>
      </c>
      <c r="K92" s="12">
        <f t="shared" si="47"/>
        <v>237.41039374200531</v>
      </c>
      <c r="L92" s="12">
        <f t="shared" si="47"/>
        <v>225.63897720725134</v>
      </c>
      <c r="M92" s="12">
        <f t="shared" si="47"/>
        <v>214.25930321091448</v>
      </c>
      <c r="N92" s="12">
        <f t="shared" si="47"/>
        <v>203.32411301536516</v>
      </c>
      <c r="O92" s="12">
        <f t="shared" si="47"/>
        <v>192.88069089761245</v>
      </c>
      <c r="P92" s="12">
        <f t="shared" si="47"/>
        <v>182.97031304318858</v>
      </c>
      <c r="Q92" s="12">
        <f t="shared" si="47"/>
        <v>173.62777826859929</v>
      </c>
      <c r="R92" s="12">
        <f t="shared" si="47"/>
        <v>164.88102536165582</v>
      </c>
      <c r="S92" s="12">
        <f t="shared" si="47"/>
        <v>156.75084031219728</v>
      </c>
      <c r="T92" s="12">
        <f t="shared" si="47"/>
        <v>149.25065521040028</v>
      </c>
      <c r="U92" s="12">
        <f t="shared" si="47"/>
        <v>142.38643915412513</v>
      </c>
      <c r="V92" s="12">
        <f t="shared" si="46"/>
        <v>136.15668016384507</v>
      </c>
      <c r="W92" s="12">
        <f t="shared" si="46"/>
        <v>130.55245588106158</v>
      </c>
      <c r="X92" s="12">
        <f t="shared" si="46"/>
        <v>125.55758974443729</v>
      </c>
      <c r="Y92" s="12">
        <f t="shared" si="46"/>
        <v>121.14888841078474</v>
      </c>
      <c r="Z92" s="12">
        <f t="shared" si="46"/>
        <v>117.29645542188692</v>
      </c>
      <c r="AA92" s="12">
        <f t="shared" si="46"/>
        <v>113.96407551228972</v>
      </c>
      <c r="AB92" s="12">
        <f t="shared" si="46"/>
        <v>111.10966350062378</v>
      </c>
      <c r="AC92" s="12">
        <f t="shared" si="46"/>
        <v>108.68577139501525</v>
      </c>
      <c r="AD92" s="12">
        <f t="shared" si="46"/>
        <v>106.64014715446095</v>
      </c>
      <c r="AE92" s="12">
        <f t="shared" si="46"/>
        <v>104.91633846201009</v>
      </c>
      <c r="AF92" s="12">
        <f t="shared" si="46"/>
        <v>103.45433485945046</v>
      </c>
      <c r="AG92" s="12">
        <f t="shared" si="46"/>
        <v>102.19124164338535</v>
      </c>
      <c r="AH92" s="12">
        <f t="shared" si="43"/>
        <v>101.06197900608419</v>
      </c>
      <c r="AI92" s="11">
        <f t="shared" si="43"/>
        <v>100</v>
      </c>
      <c r="AK92" s="18"/>
      <c r="AL92" s="11">
        <f t="shared" si="34"/>
        <v>-1076400000</v>
      </c>
      <c r="AM92" s="12">
        <f t="shared" si="34"/>
        <v>-1030490044.9443809</v>
      </c>
      <c r="AN92" s="12">
        <f t="shared" si="34"/>
        <v>-984832289.92658353</v>
      </c>
      <c r="AO92" s="12">
        <f t="shared" si="34"/>
        <v>-939675787.4043237</v>
      </c>
      <c r="AP92" s="12">
        <f t="shared" si="34"/>
        <v>-895263340.60281622</v>
      </c>
      <c r="AQ92" s="12">
        <f t="shared" si="34"/>
        <v>-851828492.746315</v>
      </c>
      <c r="AR92" s="12">
        <f t="shared" si="34"/>
        <v>-809592650.21961784</v>
      </c>
      <c r="AS92" s="12">
        <f t="shared" si="34"/>
        <v>-768762379.92076111</v>
      </c>
      <c r="AT92" s="12">
        <f t="shared" si="34"/>
        <v>-729526917.49913013</v>
      </c>
      <c r="AU92" s="12">
        <f t="shared" si="34"/>
        <v>-692055918.9406333</v>
      </c>
      <c r="AV92" s="12">
        <f t="shared" si="34"/>
        <v>-656497483.19896066</v>
      </c>
      <c r="AW92" s="12">
        <f t="shared" si="34"/>
        <v>-622976468.42773426</v>
      </c>
      <c r="AX92" s="12">
        <f t="shared" si="34"/>
        <v>-591593118.99762106</v>
      </c>
      <c r="AY92" s="12">
        <f t="shared" si="34"/>
        <v>-562422015.04016376</v>
      </c>
      <c r="AZ92" s="12">
        <f t="shared" si="34"/>
        <v>-535511350.89491624</v>
      </c>
      <c r="BA92" s="12">
        <f t="shared" si="34"/>
        <v>-510882543.68500084</v>
      </c>
      <c r="BB92" s="12">
        <f t="shared" si="38"/>
        <v>-488530168.42787611</v>
      </c>
      <c r="BC92" s="12">
        <f t="shared" si="38"/>
        <v>-468422211.70124882</v>
      </c>
      <c r="BD92" s="12">
        <f t="shared" si="38"/>
        <v>-450500632.00304103</v>
      </c>
      <c r="BE92" s="12">
        <f t="shared" si="38"/>
        <v>-434682211.6178956</v>
      </c>
      <c r="BF92" s="12">
        <f t="shared" si="38"/>
        <v>-420859682.05373019</v>
      </c>
      <c r="BG92" s="12">
        <f t="shared" si="38"/>
        <v>-408903102.93809551</v>
      </c>
      <c r="BH92" s="12">
        <f t="shared" si="38"/>
        <v>-398661472.64023811</v>
      </c>
      <c r="BI92" s="12">
        <f t="shared" si="38"/>
        <v>-389964547.7653147</v>
      </c>
      <c r="BJ92" s="12">
        <f t="shared" si="38"/>
        <v>-382624847.99020588</v>
      </c>
      <c r="BK92" s="12">
        <f t="shared" si="38"/>
        <v>-376439822.40169221</v>
      </c>
      <c r="BL92" s="12">
        <f t="shared" si="38"/>
        <v>-371194153.47570825</v>
      </c>
      <c r="BM92" s="12">
        <f t="shared" si="38"/>
        <v>-366662175.01646668</v>
      </c>
      <c r="BN92" s="12">
        <f t="shared" si="38"/>
        <v>-362610380.67383003</v>
      </c>
      <c r="BO92" s="11">
        <f t="shared" si="38"/>
        <v>-358800000</v>
      </c>
      <c r="BQ92" s="16"/>
      <c r="BR92" s="11">
        <f>$C$20/($C$21-$C$22*BR93)</f>
        <v>0.51881554595928436</v>
      </c>
      <c r="BS92" s="12">
        <f>$C$20/($C$21-$C$22*BS93)</f>
        <v>0.51881554595928436</v>
      </c>
      <c r="BT92" s="12">
        <f t="shared" si="41"/>
        <v>0.51881554595928436</v>
      </c>
      <c r="BU92" s="12">
        <f t="shared" si="41"/>
        <v>0.51881554595928436</v>
      </c>
      <c r="BV92" s="12">
        <f t="shared" si="41"/>
        <v>0.51881554595928436</v>
      </c>
      <c r="BW92" s="12">
        <f t="shared" si="41"/>
        <v>0.51881554595928436</v>
      </c>
      <c r="BX92" s="12">
        <f t="shared" si="41"/>
        <v>0.51881554595928436</v>
      </c>
      <c r="BY92" s="12">
        <f t="shared" si="41"/>
        <v>0.51881554595928436</v>
      </c>
      <c r="BZ92" s="12">
        <f t="shared" si="41"/>
        <v>0.51881554595928436</v>
      </c>
      <c r="CA92" s="12">
        <f t="shared" si="41"/>
        <v>0.51881554595928436</v>
      </c>
      <c r="CB92" s="12">
        <f t="shared" si="41"/>
        <v>0.51881554595928436</v>
      </c>
      <c r="CC92" s="12">
        <f t="shared" si="41"/>
        <v>0.51881554595928436</v>
      </c>
      <c r="CD92" s="12">
        <f t="shared" si="41"/>
        <v>0.51881554595928436</v>
      </c>
      <c r="CE92" s="12">
        <f t="shared" si="41"/>
        <v>0.51881554595928436</v>
      </c>
      <c r="CF92" s="12">
        <f t="shared" si="41"/>
        <v>0.51881554595928436</v>
      </c>
      <c r="CG92" s="12">
        <f t="shared" si="39"/>
        <v>0.51881554595928436</v>
      </c>
      <c r="CH92" s="12">
        <f t="shared" si="39"/>
        <v>0.51881554595928436</v>
      </c>
      <c r="CI92" s="12">
        <f t="shared" si="39"/>
        <v>0.51881554595928436</v>
      </c>
      <c r="CJ92" s="12">
        <f t="shared" si="39"/>
        <v>0.51881554595928436</v>
      </c>
      <c r="CK92" s="12">
        <f t="shared" si="44"/>
        <v>0.51881554595928436</v>
      </c>
      <c r="CL92" s="12">
        <f t="shared" si="44"/>
        <v>0.51881554595928436</v>
      </c>
      <c r="CM92" s="12">
        <f t="shared" si="44"/>
        <v>0.51881554595928436</v>
      </c>
      <c r="CN92" s="12">
        <f t="shared" si="44"/>
        <v>0.51881554595928436</v>
      </c>
      <c r="CO92" s="12">
        <f t="shared" si="44"/>
        <v>0.51881554595928436</v>
      </c>
      <c r="CP92" s="12">
        <f t="shared" si="44"/>
        <v>0.51881554595928436</v>
      </c>
      <c r="CQ92" s="12">
        <f t="shared" si="44"/>
        <v>0.51881554595928436</v>
      </c>
      <c r="CR92" s="12">
        <f t="shared" si="44"/>
        <v>0.51881554595928436</v>
      </c>
      <c r="CS92" s="12">
        <f t="shared" si="44"/>
        <v>0.51881554595928436</v>
      </c>
      <c r="CT92" s="12">
        <f t="shared" si="44"/>
        <v>0.51881554595928436</v>
      </c>
      <c r="CU92" s="11">
        <f t="shared" si="44"/>
        <v>0.51881554595928436</v>
      </c>
      <c r="CW92" s="16"/>
      <c r="CX92" s="11">
        <f>($C$22*CX93-AL92)/($C$21-$C$22*BR93)</f>
        <v>144.3553362122147</v>
      </c>
      <c r="CY92" s="12">
        <f>($C$22*CY93-AM92)/($C$21-$C$22*BS93)</f>
        <v>138.19838062178218</v>
      </c>
      <c r="CZ92" s="12">
        <f t="shared" si="42"/>
        <v>132.07524742195955</v>
      </c>
      <c r="DA92" s="12">
        <f t="shared" si="42"/>
        <v>126.01933688334144</v>
      </c>
      <c r="DB92" s="12">
        <f t="shared" si="42"/>
        <v>120.0632111958287</v>
      </c>
      <c r="DC92" s="12">
        <f t="shared" si="42"/>
        <v>114.23819069633815</v>
      </c>
      <c r="DD92" s="12">
        <f t="shared" si="42"/>
        <v>108.57396805777672</v>
      </c>
      <c r="DE92" s="12">
        <f t="shared" si="42"/>
        <v>103.09824583868803</v>
      </c>
      <c r="DF92" s="12">
        <f t="shared" si="42"/>
        <v>97.836402314611249</v>
      </c>
      <c r="DG92" s="12">
        <f t="shared" si="42"/>
        <v>92.811189944563665</v>
      </c>
      <c r="DH92" s="12">
        <f t="shared" si="42"/>
        <v>88.042470187345543</v>
      </c>
      <c r="DI92" s="12">
        <f t="shared" si="42"/>
        <v>83.546987692478382</v>
      </c>
      <c r="DJ92" s="12">
        <f t="shared" si="42"/>
        <v>79.338186170321748</v>
      </c>
      <c r="DK92" s="12">
        <f t="shared" si="42"/>
        <v>75.426067516048036</v>
      </c>
      <c r="DL92" s="12">
        <f t="shared" si="42"/>
        <v>71.817095042635557</v>
      </c>
      <c r="DM92" s="12">
        <f t="shared" si="40"/>
        <v>68.51414098717926</v>
      </c>
      <c r="DN92" s="12">
        <f t="shared" si="40"/>
        <v>65.516477808636125</v>
      </c>
      <c r="DO92" s="12">
        <f t="shared" si="40"/>
        <v>62.819812206803221</v>
      </c>
      <c r="DP92" s="12">
        <f t="shared" si="40"/>
        <v>60.416360271845221</v>
      </c>
      <c r="DQ92" s="12">
        <f t="shared" si="40"/>
        <v>58.294961727583036</v>
      </c>
      <c r="DR92" s="12">
        <f t="shared" si="45"/>
        <v>56.441230863091789</v>
      </c>
      <c r="DS92" s="12">
        <f t="shared" si="45"/>
        <v>54.837741455636021</v>
      </c>
      <c r="DT92" s="12">
        <f t="shared" si="45"/>
        <v>53.464242770195284</v>
      </c>
      <c r="DU92" s="12">
        <f t="shared" si="45"/>
        <v>52.297903570704442</v>
      </c>
      <c r="DV92" s="12">
        <f t="shared" si="45"/>
        <v>51.31358098734087</v>
      </c>
      <c r="DW92" s="12">
        <f t="shared" si="45"/>
        <v>50.484111042793266</v>
      </c>
      <c r="DX92" s="12">
        <f t="shared" si="45"/>
        <v>49.780617637490046</v>
      </c>
      <c r="DY92" s="12">
        <f t="shared" si="45"/>
        <v>49.172836817915233</v>
      </c>
      <c r="DZ92" s="12">
        <f t="shared" si="45"/>
        <v>48.629453192316888</v>
      </c>
      <c r="EA92" s="11">
        <f t="shared" si="45"/>
        <v>48.118445404071565</v>
      </c>
    </row>
    <row r="93" spans="5:131" x14ac:dyDescent="0.3">
      <c r="E93" s="16"/>
      <c r="F93" s="11">
        <f t="shared" si="47"/>
        <v>300</v>
      </c>
      <c r="G93" s="11">
        <f t="shared" si="47"/>
        <v>287.20458331783192</v>
      </c>
      <c r="H93" s="11">
        <f t="shared" si="47"/>
        <v>274.47945650127747</v>
      </c>
      <c r="I93" s="11">
        <f t="shared" si="47"/>
        <v>261.89403216396983</v>
      </c>
      <c r="J93" s="11">
        <f t="shared" si="47"/>
        <v>249.51598121594657</v>
      </c>
      <c r="K93" s="11">
        <f t="shared" si="47"/>
        <v>237.41039374200531</v>
      </c>
      <c r="L93" s="11">
        <f t="shared" si="47"/>
        <v>225.63897720725134</v>
      </c>
      <c r="M93" s="11">
        <f t="shared" si="47"/>
        <v>214.25930321091448</v>
      </c>
      <c r="N93" s="11">
        <f t="shared" si="47"/>
        <v>203.32411301536516</v>
      </c>
      <c r="O93" s="11">
        <f t="shared" si="47"/>
        <v>192.88069089761245</v>
      </c>
      <c r="P93" s="11">
        <f t="shared" si="47"/>
        <v>182.97031304318858</v>
      </c>
      <c r="Q93" s="11">
        <f t="shared" si="47"/>
        <v>173.62777826859929</v>
      </c>
      <c r="R93" s="11">
        <f t="shared" si="47"/>
        <v>164.88102536165582</v>
      </c>
      <c r="S93" s="11">
        <f t="shared" si="47"/>
        <v>156.75084031219728</v>
      </c>
      <c r="T93" s="11">
        <f t="shared" si="47"/>
        <v>149.25065521040028</v>
      </c>
      <c r="U93" s="11">
        <f t="shared" si="47"/>
        <v>142.38643915412513</v>
      </c>
      <c r="V93" s="11">
        <f t="shared" si="46"/>
        <v>136.15668016384507</v>
      </c>
      <c r="W93" s="11">
        <f t="shared" si="46"/>
        <v>130.55245588106158</v>
      </c>
      <c r="X93" s="11">
        <f t="shared" si="46"/>
        <v>125.55758974443729</v>
      </c>
      <c r="Y93" s="11">
        <f t="shared" si="46"/>
        <v>121.14888841078474</v>
      </c>
      <c r="Z93" s="11">
        <f t="shared" si="46"/>
        <v>117.29645542188692</v>
      </c>
      <c r="AA93" s="11">
        <f t="shared" si="46"/>
        <v>113.96407551228972</v>
      </c>
      <c r="AB93" s="11">
        <f t="shared" si="46"/>
        <v>111.10966350062378</v>
      </c>
      <c r="AC93" s="11">
        <f t="shared" si="46"/>
        <v>108.68577139501525</v>
      </c>
      <c r="AD93" s="11">
        <f t="shared" si="46"/>
        <v>106.64014715446095</v>
      </c>
      <c r="AE93" s="11">
        <f t="shared" si="46"/>
        <v>104.91633846201009</v>
      </c>
      <c r="AF93" s="11">
        <f t="shared" si="46"/>
        <v>103.45433485945046</v>
      </c>
      <c r="AG93" s="11">
        <f t="shared" si="46"/>
        <v>102.19124164338535</v>
      </c>
      <c r="AH93" s="11">
        <f t="shared" si="43"/>
        <v>101.06197900608419</v>
      </c>
      <c r="AI93" s="11">
        <f t="shared" si="43"/>
        <v>100</v>
      </c>
      <c r="AK93" s="18"/>
      <c r="AL93" s="11">
        <f t="shared" si="34"/>
        <v>-1076400000</v>
      </c>
      <c r="AM93" s="11">
        <f t="shared" si="34"/>
        <v>-1030490044.9443809</v>
      </c>
      <c r="AN93" s="11">
        <f t="shared" si="34"/>
        <v>-984832289.92658353</v>
      </c>
      <c r="AO93" s="11">
        <f t="shared" si="34"/>
        <v>-939675787.4043237</v>
      </c>
      <c r="AP93" s="11">
        <f t="shared" si="34"/>
        <v>-895263340.60281622</v>
      </c>
      <c r="AQ93" s="11">
        <f t="shared" si="34"/>
        <v>-851828492.746315</v>
      </c>
      <c r="AR93" s="11">
        <f t="shared" si="34"/>
        <v>-809592650.21961784</v>
      </c>
      <c r="AS93" s="11">
        <f t="shared" si="34"/>
        <v>-768762379.92076111</v>
      </c>
      <c r="AT93" s="11">
        <f t="shared" si="34"/>
        <v>-729526917.49913013</v>
      </c>
      <c r="AU93" s="11">
        <f t="shared" si="34"/>
        <v>-692055918.9406333</v>
      </c>
      <c r="AV93" s="11">
        <f t="shared" si="34"/>
        <v>-656497483.19896066</v>
      </c>
      <c r="AW93" s="11">
        <f t="shared" si="34"/>
        <v>-622976468.42773426</v>
      </c>
      <c r="AX93" s="11">
        <f t="shared" si="34"/>
        <v>-591593118.99762106</v>
      </c>
      <c r="AY93" s="11">
        <f t="shared" si="34"/>
        <v>-562422015.04016376</v>
      </c>
      <c r="AZ93" s="11">
        <f t="shared" si="34"/>
        <v>-535511350.89491624</v>
      </c>
      <c r="BA93" s="11">
        <f t="shared" si="34"/>
        <v>-510882543.68500084</v>
      </c>
      <c r="BB93" s="11">
        <f t="shared" si="38"/>
        <v>-488530168.42787611</v>
      </c>
      <c r="BC93" s="11">
        <f t="shared" si="38"/>
        <v>-468422211.70124882</v>
      </c>
      <c r="BD93" s="11">
        <f t="shared" si="38"/>
        <v>-450500632.00304103</v>
      </c>
      <c r="BE93" s="11">
        <f t="shared" si="38"/>
        <v>-434682211.6178956</v>
      </c>
      <c r="BF93" s="11">
        <f t="shared" si="38"/>
        <v>-420859682.05373019</v>
      </c>
      <c r="BG93" s="11">
        <f t="shared" si="38"/>
        <v>-408903102.93809551</v>
      </c>
      <c r="BH93" s="11">
        <f t="shared" si="38"/>
        <v>-398661472.64023811</v>
      </c>
      <c r="BI93" s="11">
        <f t="shared" si="38"/>
        <v>-389964547.7653147</v>
      </c>
      <c r="BJ93" s="11">
        <f t="shared" si="38"/>
        <v>-382624847.99020588</v>
      </c>
      <c r="BK93" s="11">
        <f t="shared" si="38"/>
        <v>-376439822.40169221</v>
      </c>
      <c r="BL93" s="11">
        <f t="shared" si="38"/>
        <v>-371194153.47570825</v>
      </c>
      <c r="BM93" s="11">
        <f t="shared" si="38"/>
        <v>-366662175.01646668</v>
      </c>
      <c r="BN93" s="11">
        <f t="shared" si="38"/>
        <v>-362610380.67383003</v>
      </c>
      <c r="BO93" s="11">
        <f t="shared" si="38"/>
        <v>-358800000</v>
      </c>
      <c r="BQ93" s="16"/>
      <c r="BR93" s="11">
        <f>1</f>
        <v>1</v>
      </c>
      <c r="BS93" s="11">
        <f>1</f>
        <v>1</v>
      </c>
      <c r="BT93" s="11">
        <f>1</f>
        <v>1</v>
      </c>
      <c r="BU93" s="11">
        <f>1</f>
        <v>1</v>
      </c>
      <c r="BV93" s="11">
        <f>1</f>
        <v>1</v>
      </c>
      <c r="BW93" s="11">
        <f>1</f>
        <v>1</v>
      </c>
      <c r="BX93" s="11">
        <f>1</f>
        <v>1</v>
      </c>
      <c r="BY93" s="11">
        <f>1</f>
        <v>1</v>
      </c>
      <c r="BZ93" s="11">
        <f>1</f>
        <v>1</v>
      </c>
      <c r="CA93" s="11">
        <f>1</f>
        <v>1</v>
      </c>
      <c r="CB93" s="11">
        <f>1</f>
        <v>1</v>
      </c>
      <c r="CC93" s="11">
        <f>1</f>
        <v>1</v>
      </c>
      <c r="CD93" s="11">
        <f>1</f>
        <v>1</v>
      </c>
      <c r="CE93" s="11">
        <f>1</f>
        <v>1</v>
      </c>
      <c r="CF93" s="11">
        <f>1</f>
        <v>1</v>
      </c>
      <c r="CG93" s="11">
        <f>1</f>
        <v>1</v>
      </c>
      <c r="CH93" s="11">
        <f>1</f>
        <v>1</v>
      </c>
      <c r="CI93" s="11">
        <f>1</f>
        <v>1</v>
      </c>
      <c r="CJ93" s="11">
        <f>1</f>
        <v>1</v>
      </c>
      <c r="CK93" s="11">
        <f>1</f>
        <v>1</v>
      </c>
      <c r="CL93" s="11">
        <f>1</f>
        <v>1</v>
      </c>
      <c r="CM93" s="11">
        <f>1</f>
        <v>1</v>
      </c>
      <c r="CN93" s="11">
        <f>1</f>
        <v>1</v>
      </c>
      <c r="CO93" s="11">
        <f>1</f>
        <v>1</v>
      </c>
      <c r="CP93" s="11">
        <f>1</f>
        <v>1</v>
      </c>
      <c r="CQ93" s="11">
        <f>1</f>
        <v>1</v>
      </c>
      <c r="CR93" s="11">
        <f>1</f>
        <v>1</v>
      </c>
      <c r="CS93" s="11">
        <f>1</f>
        <v>1</v>
      </c>
      <c r="CT93" s="11">
        <f>1</f>
        <v>1</v>
      </c>
      <c r="CU93" s="11">
        <f>1</f>
        <v>1</v>
      </c>
      <c r="CW93" s="16"/>
      <c r="CX93" s="11">
        <f>0</f>
        <v>0</v>
      </c>
      <c r="CY93" s="11">
        <f>0</f>
        <v>0</v>
      </c>
      <c r="CZ93" s="11">
        <f>0</f>
        <v>0</v>
      </c>
      <c r="DA93" s="11">
        <f>0</f>
        <v>0</v>
      </c>
      <c r="DB93" s="11">
        <f>0</f>
        <v>0</v>
      </c>
      <c r="DC93" s="11">
        <f>0</f>
        <v>0</v>
      </c>
      <c r="DD93" s="11">
        <f>0</f>
        <v>0</v>
      </c>
      <c r="DE93" s="11">
        <f>0</f>
        <v>0</v>
      </c>
      <c r="DF93" s="11">
        <f>0</f>
        <v>0</v>
      </c>
      <c r="DG93" s="11">
        <f>0</f>
        <v>0</v>
      </c>
      <c r="DH93" s="11">
        <f>0</f>
        <v>0</v>
      </c>
      <c r="DI93" s="11">
        <f>0</f>
        <v>0</v>
      </c>
      <c r="DJ93" s="11">
        <f>0</f>
        <v>0</v>
      </c>
      <c r="DK93" s="11">
        <f>0</f>
        <v>0</v>
      </c>
      <c r="DL93" s="11">
        <f>0</f>
        <v>0</v>
      </c>
      <c r="DM93" s="11">
        <f>0</f>
        <v>0</v>
      </c>
      <c r="DN93" s="11">
        <f>0</f>
        <v>0</v>
      </c>
      <c r="DO93" s="11">
        <f>0</f>
        <v>0</v>
      </c>
      <c r="DP93" s="11">
        <f>0</f>
        <v>0</v>
      </c>
      <c r="DQ93" s="11">
        <f>0</f>
        <v>0</v>
      </c>
      <c r="DR93" s="11">
        <f>0</f>
        <v>0</v>
      </c>
      <c r="DS93" s="11">
        <f>0</f>
        <v>0</v>
      </c>
      <c r="DT93" s="11">
        <f>0</f>
        <v>0</v>
      </c>
      <c r="DU93" s="11">
        <f>0</f>
        <v>0</v>
      </c>
      <c r="DV93" s="11">
        <f>0</f>
        <v>0</v>
      </c>
      <c r="DW93" s="11">
        <f>0</f>
        <v>0</v>
      </c>
      <c r="DX93" s="11">
        <f>0</f>
        <v>0</v>
      </c>
      <c r="DY93" s="11">
        <f>0</f>
        <v>0</v>
      </c>
      <c r="DZ93" s="11">
        <f>0</f>
        <v>0</v>
      </c>
      <c r="EA93" s="11">
        <f>0</f>
        <v>0</v>
      </c>
    </row>
    <row r="94" spans="5:131" x14ac:dyDescent="0.3">
      <c r="CU94" s="13"/>
    </row>
  </sheetData>
  <mergeCells count="13">
    <mergeCell ref="A2:A7"/>
    <mergeCell ref="A9:A11"/>
    <mergeCell ref="A13:A14"/>
    <mergeCell ref="A16:A18"/>
    <mergeCell ref="A20:A22"/>
    <mergeCell ref="CW33:CW62"/>
    <mergeCell ref="CW64:CW93"/>
    <mergeCell ref="E33:E62"/>
    <mergeCell ref="E64:E93"/>
    <mergeCell ref="AK33:AK62"/>
    <mergeCell ref="AK64:AK93"/>
    <mergeCell ref="BQ33:BQ62"/>
    <mergeCell ref="BQ64:BQ93"/>
  </mergeCells>
  <conditionalFormatting sqref="G2:AH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AJ16"/>
  <sheetViews>
    <sheetView zoomScale="70" zoomScaleNormal="70" workbookViewId="0">
      <selection activeCell="O30" sqref="O30"/>
    </sheetView>
  </sheetViews>
  <sheetFormatPr defaultRowHeight="14.4" x14ac:dyDescent="0.3"/>
  <sheetData>
    <row r="3" spans="1:36" x14ac:dyDescent="0.3">
      <c r="A3" s="12" t="s">
        <v>0</v>
      </c>
      <c r="B3" s="12">
        <v>0.1</v>
      </c>
    </row>
    <row r="4" spans="1:36" x14ac:dyDescent="0.3">
      <c r="A4" s="12" t="s">
        <v>2</v>
      </c>
      <c r="B4" s="12">
        <f>B3/30</f>
        <v>3.3333333333333335E-3</v>
      </c>
    </row>
    <row r="5" spans="1:36" x14ac:dyDescent="0.3">
      <c r="A5" s="12" t="s">
        <v>5</v>
      </c>
      <c r="B5" s="12">
        <f>(B9*B8*B4^2)/(2*B10)</f>
        <v>0.4333333333333334</v>
      </c>
    </row>
    <row r="6" spans="1:36" x14ac:dyDescent="0.3">
      <c r="A6" s="12" t="s">
        <v>4</v>
      </c>
      <c r="B6" s="12">
        <v>60</v>
      </c>
    </row>
    <row r="8" spans="1:36" x14ac:dyDescent="0.3">
      <c r="A8" s="12" t="s">
        <v>6</v>
      </c>
      <c r="B8" s="12">
        <v>460</v>
      </c>
    </row>
    <row r="9" spans="1:36" x14ac:dyDescent="0.3">
      <c r="A9" s="12" t="s">
        <v>14</v>
      </c>
      <c r="B9" s="12">
        <v>7800</v>
      </c>
    </row>
    <row r="10" spans="1:36" x14ac:dyDescent="0.3">
      <c r="A10" s="12" t="s">
        <v>8</v>
      </c>
      <c r="B10" s="12">
        <v>46</v>
      </c>
    </row>
    <row r="11" spans="1:36" x14ac:dyDescent="0.3">
      <c r="F11" s="12">
        <v>1</v>
      </c>
      <c r="G11" s="12">
        <v>2</v>
      </c>
      <c r="H11" s="12">
        <v>3</v>
      </c>
      <c r="I11" s="12">
        <v>4</v>
      </c>
      <c r="J11" s="12">
        <v>5</v>
      </c>
      <c r="K11" s="12">
        <v>6</v>
      </c>
      <c r="L11" s="12">
        <v>7</v>
      </c>
      <c r="M11" s="12">
        <v>8</v>
      </c>
      <c r="N11" s="12">
        <v>9</v>
      </c>
      <c r="O11" s="12">
        <v>10</v>
      </c>
      <c r="P11" s="12">
        <v>11</v>
      </c>
      <c r="Q11" s="12">
        <v>12</v>
      </c>
      <c r="R11" s="12">
        <v>13</v>
      </c>
      <c r="S11" s="12">
        <v>14</v>
      </c>
      <c r="T11" s="12">
        <v>15</v>
      </c>
      <c r="U11" s="12">
        <v>16</v>
      </c>
      <c r="V11" s="12">
        <v>17</v>
      </c>
      <c r="W11" s="12">
        <v>18</v>
      </c>
      <c r="X11" s="12">
        <v>19</v>
      </c>
      <c r="Y11" s="12">
        <v>20</v>
      </c>
      <c r="Z11" s="12">
        <v>21</v>
      </c>
      <c r="AA11" s="12">
        <v>22</v>
      </c>
      <c r="AB11" s="12">
        <v>23</v>
      </c>
      <c r="AC11" s="12">
        <v>24</v>
      </c>
      <c r="AD11" s="12">
        <v>25</v>
      </c>
      <c r="AE11" s="12">
        <v>26</v>
      </c>
      <c r="AF11" s="12">
        <v>27</v>
      </c>
      <c r="AG11" s="12">
        <v>28</v>
      </c>
      <c r="AH11" s="12">
        <v>29</v>
      </c>
      <c r="AI11" s="12">
        <v>30</v>
      </c>
      <c r="AJ11" s="12">
        <v>31</v>
      </c>
    </row>
    <row r="12" spans="1:36" x14ac:dyDescent="0.3">
      <c r="A12" s="12" t="s">
        <v>9</v>
      </c>
      <c r="B12" s="12">
        <v>300</v>
      </c>
      <c r="E12" s="12" t="s">
        <v>0</v>
      </c>
      <c r="F12" s="12">
        <v>0</v>
      </c>
      <c r="G12" s="12">
        <f>F12+$B$4</f>
        <v>3.3333333333333335E-3</v>
      </c>
      <c r="H12" s="12">
        <f>G12+$B$4</f>
        <v>6.6666666666666671E-3</v>
      </c>
      <c r="I12" s="12">
        <f>H12+$B$4</f>
        <v>0.01</v>
      </c>
      <c r="J12" s="12">
        <f>I12+$B$4</f>
        <v>1.3333333333333334E-2</v>
      </c>
      <c r="K12" s="12">
        <f>J12+$B$4</f>
        <v>1.6666666666666666E-2</v>
      </c>
      <c r="L12" s="12">
        <f>K12+$B$4</f>
        <v>0.02</v>
      </c>
      <c r="M12" s="12">
        <f>L12+$B$4</f>
        <v>2.3333333333333334E-2</v>
      </c>
      <c r="N12" s="12">
        <f>M12+$B$4</f>
        <v>2.6666666666666668E-2</v>
      </c>
      <c r="O12" s="12">
        <f>N12+$B$4</f>
        <v>3.0000000000000002E-2</v>
      </c>
      <c r="P12" s="12">
        <f>O12+$B$4</f>
        <v>3.3333333333333333E-2</v>
      </c>
      <c r="Q12" s="12">
        <f>P12+$B$4</f>
        <v>3.6666666666666667E-2</v>
      </c>
      <c r="R12" s="12">
        <f>Q12+$B$4</f>
        <v>0.04</v>
      </c>
      <c r="S12" s="12">
        <f>R12+$B$4</f>
        <v>4.3333333333333335E-2</v>
      </c>
      <c r="T12" s="12">
        <f>S12+$B$4</f>
        <v>4.6666666666666669E-2</v>
      </c>
      <c r="U12" s="12">
        <f>T12+$B$4</f>
        <v>0.05</v>
      </c>
      <c r="V12" s="12">
        <f>U12+$B$4</f>
        <v>5.3333333333333337E-2</v>
      </c>
      <c r="W12" s="12">
        <f>V12+$B$4</f>
        <v>5.6666666666666671E-2</v>
      </c>
      <c r="X12" s="12">
        <f>W12+$B$4</f>
        <v>6.0000000000000005E-2</v>
      </c>
      <c r="Y12" s="12">
        <f>X12+$B$4</f>
        <v>6.3333333333333339E-2</v>
      </c>
      <c r="Z12" s="12">
        <f>Y12+$B$4</f>
        <v>6.6666666666666666E-2</v>
      </c>
      <c r="AA12" s="12">
        <f>Z12+$B$4</f>
        <v>6.9999999999999993E-2</v>
      </c>
      <c r="AB12" s="12">
        <f>AA12+$B$4</f>
        <v>7.333333333333332E-2</v>
      </c>
      <c r="AC12" s="12">
        <f>AB12+$B$4</f>
        <v>7.6666666666666647E-2</v>
      </c>
      <c r="AD12" s="12">
        <f>AC12+$B$4</f>
        <v>7.9999999999999974E-2</v>
      </c>
      <c r="AE12" s="12">
        <f>AD12+$B$4</f>
        <v>8.3333333333333301E-2</v>
      </c>
      <c r="AF12" s="12">
        <f>AE12+$B$4</f>
        <v>8.6666666666666628E-2</v>
      </c>
      <c r="AG12" s="12">
        <f>AF12+$B$4</f>
        <v>8.9999999999999955E-2</v>
      </c>
      <c r="AH12" s="12">
        <f>AG12+$B$4</f>
        <v>9.3333333333333282E-2</v>
      </c>
      <c r="AI12" s="12">
        <f>AH12+$B$4</f>
        <v>9.6666666666666609E-2</v>
      </c>
      <c r="AJ12" s="12">
        <f>AI12+$B$4</f>
        <v>9.9999999999999936E-2</v>
      </c>
    </row>
    <row r="13" spans="1:36" x14ac:dyDescent="0.3">
      <c r="A13" s="12" t="s">
        <v>13</v>
      </c>
      <c r="B13" s="12">
        <v>100</v>
      </c>
      <c r="E13" s="12" t="s">
        <v>15</v>
      </c>
      <c r="F13" s="12">
        <f>B12</f>
        <v>300</v>
      </c>
      <c r="G13" s="12">
        <v>280.34602914679897</v>
      </c>
      <c r="H13" s="12">
        <v>260.69205829359794</v>
      </c>
      <c r="I13" s="12">
        <v>241.69187227593491</v>
      </c>
      <c r="J13" s="12">
        <v>222.69168625827183</v>
      </c>
      <c r="K13" s="12">
        <v>204.95390631913148</v>
      </c>
      <c r="L13" s="12">
        <v>187.21612637999107</v>
      </c>
      <c r="M13" s="12">
        <v>171.26453784334268</v>
      </c>
      <c r="N13" s="12">
        <v>155.31294930669429</v>
      </c>
      <c r="O13" s="12">
        <v>141.55671337374599</v>
      </c>
      <c r="P13" s="12">
        <v>127.80047744079765</v>
      </c>
      <c r="Q13" s="12">
        <v>116.51671674932982</v>
      </c>
      <c r="R13" s="12">
        <v>105.23295605786197</v>
      </c>
      <c r="S13" s="12">
        <v>96.561989352755049</v>
      </c>
      <c r="T13" s="12">
        <v>87.891022647648128</v>
      </c>
      <c r="U13" s="12">
        <v>81.842538774051832</v>
      </c>
      <c r="V13" s="12">
        <v>75.794054900455549</v>
      </c>
      <c r="W13" s="12">
        <v>72.261187114604226</v>
      </c>
      <c r="X13" s="12">
        <v>68.728319328752917</v>
      </c>
      <c r="Y13" s="12">
        <v>67.506108522455037</v>
      </c>
      <c r="Z13" s="12">
        <v>66.283897716157142</v>
      </c>
      <c r="AA13" s="12">
        <v>67.088962026000345</v>
      </c>
      <c r="AB13" s="12">
        <v>67.894026335843549</v>
      </c>
      <c r="AC13" s="12">
        <v>70.383127200086093</v>
      </c>
      <c r="AD13" s="12">
        <v>72.872228064328638</v>
      </c>
      <c r="AE13" s="12">
        <v>76.658491877071754</v>
      </c>
      <c r="AF13" s="12">
        <v>80.444755689814855</v>
      </c>
      <c r="AG13" s="12">
        <v>85.111263870845988</v>
      </c>
      <c r="AH13" s="12">
        <v>89.777772051877108</v>
      </c>
      <c r="AI13" s="12">
        <v>94.888886025938547</v>
      </c>
      <c r="AJ13" s="12">
        <f>B13</f>
        <v>100</v>
      </c>
    </row>
    <row r="16" spans="1:36" x14ac:dyDescent="0.3">
      <c r="E16" t="s">
        <v>16</v>
      </c>
      <c r="G16">
        <f>G13+(($B$10*$B$5)/($B$9*$B$8))*( (H13-2*G13+F13)/($B$4^2))</f>
        <v>280.34602914679897</v>
      </c>
      <c r="H16">
        <f>H13+(($B$10*$B$5)/($B$9*$B$8))*( (I13-2*H13+G13)/($B$4^2))</f>
        <v>261.01895071136693</v>
      </c>
      <c r="I16">
        <f>I13+(($B$10*$B$5)/($B$9*$B$8))*( (J13-2*I13+H13)/($B$4^2))</f>
        <v>241.69187227593488</v>
      </c>
      <c r="J16">
        <f>J13+(($B$10*$B$5)/($B$9*$B$8))*( (K13-2*J13+I13)/($B$4^2))</f>
        <v>223.32288929753321</v>
      </c>
      <c r="K16">
        <f>K13+(($B$10*$B$5)/($B$9*$B$8))*( (L13-2*K13+J13)/($B$4^2))</f>
        <v>204.95390631913145</v>
      </c>
      <c r="L16">
        <f>L13+(($B$10*$B$5)/($B$9*$B$8))*( (M13-2*L13+K13)/($B$4^2))</f>
        <v>188.10922208123708</v>
      </c>
      <c r="M16">
        <f>M13+(($B$10*$B$5)/($B$9*$B$8))*( (N13-2*M13+L13)/($B$4^2))</f>
        <v>171.26453784334268</v>
      </c>
      <c r="N16">
        <f>N13+(($B$10*$B$5)/($B$9*$B$8))*( (O13-2*N13+M13)/($B$4^2))</f>
        <v>156.41062560854434</v>
      </c>
      <c r="O16">
        <f>O13+(($B$10*$B$5)/($B$9*$B$8))*( (P13-2*O13+N13)/($B$4^2))</f>
        <v>141.55671337374596</v>
      </c>
      <c r="P16">
        <f>P13+(($B$10*$B$5)/($B$9*$B$8))*( (Q13-2*P13+O13)/($B$4^2))</f>
        <v>129.0367150615379</v>
      </c>
      <c r="Q16">
        <f>Q13+(($B$10*$B$5)/($B$9*$B$8))*( (R13-2*Q13+P13)/($B$4^2))</f>
        <v>116.51671674932982</v>
      </c>
      <c r="R16">
        <f>R13+(($B$10*$B$5)/($B$9*$B$8))*( (S13-2*R13+Q13)/($B$4^2))</f>
        <v>106.53935305104244</v>
      </c>
      <c r="S16">
        <f>S13+(($B$10*$B$5)/($B$9*$B$8))*( (T13-2*S13+R13)/($B$4^2))</f>
        <v>96.561989352755049</v>
      </c>
      <c r="T16">
        <f>T13+(($B$10*$B$5)/($B$9*$B$8))*( (U13-2*T13+S13)/($B$4^2))</f>
        <v>89.202264063403447</v>
      </c>
      <c r="U16">
        <f>U13+(($B$10*$B$5)/($B$9*$B$8))*( (V13-2*U13+T13)/($B$4^2))</f>
        <v>81.842538774051832</v>
      </c>
      <c r="V16">
        <f>V13+(($B$10*$B$5)/($B$9*$B$8))*( (W13-2*V13+U13)/($B$4^2))</f>
        <v>77.051862944328036</v>
      </c>
      <c r="W16">
        <f>W13+(($B$10*$B$5)/($B$9*$B$8))*( (X13-2*W13+V13)/($B$4^2))</f>
        <v>72.26118711460424</v>
      </c>
      <c r="X16">
        <f>X13+(($B$10*$B$5)/($B$9*$B$8))*( (Y13-2*X13+W13)/($B$4^2))</f>
        <v>69.883647818529624</v>
      </c>
      <c r="Y16">
        <f>Y13+(($B$10*$B$5)/($B$9*$B$8))*( (Z13-2*Y13+X13)/($B$4^2))</f>
        <v>67.506108522455037</v>
      </c>
      <c r="Z16">
        <f>Z13+(($B$10*$B$5)/($B$9*$B$8))*( (AA13-2*Z13+Y13)/($B$4^2))</f>
        <v>67.297535274227698</v>
      </c>
      <c r="AA16">
        <f>AA13+(($B$10*$B$5)/($B$9*$B$8))*( (AB13-2*AA13+Z13)/($B$4^2))</f>
        <v>67.088962026000345</v>
      </c>
      <c r="AB16">
        <f>AB13+(($B$10*$B$5)/($B$9*$B$8))*( (AC13-2*AB13+AA13)/($B$4^2))</f>
        <v>68.736044613043219</v>
      </c>
      <c r="AC16">
        <f>AC13+(($B$10*$B$5)/($B$9*$B$8))*( (AD13-2*AC13+AB13)/($B$4^2))</f>
        <v>70.383127200086093</v>
      </c>
      <c r="AD16">
        <f>AD13+(($B$10*$B$5)/($B$9*$B$8))*( (AE13-2*AD13+AC13)/($B$4^2))</f>
        <v>73.520809538578931</v>
      </c>
      <c r="AE16">
        <f>AE13+(($B$10*$B$5)/($B$9*$B$8))*( (AF13-2*AE13+AD13)/($B$4^2))</f>
        <v>76.658491877071754</v>
      </c>
      <c r="AF16">
        <f>AF13+(($B$10*$B$5)/($B$9*$B$8))*( (AG13-2*AF13+AE13)/($B$4^2))</f>
        <v>80.884877873958871</v>
      </c>
      <c r="AG16">
        <f>AG13+(($B$10*$B$5)/($B$9*$B$8))*( (AH13-2*AG13+AF13)/($B$4^2))</f>
        <v>85.111263870845988</v>
      </c>
      <c r="AH16">
        <f>AH13+(($B$10*$B$5)/($B$9*$B$8))*( (AI13-2*AH13+AG13)/($B$4^2))</f>
        <v>90.000074948392268</v>
      </c>
      <c r="AI16">
        <f>AI13+(($B$10*$B$5)/($B$9*$B$8))*( (AJ13-2*AI13+AH13)/($B$4^2))</f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2021-11-10T15:38:13Z</dcterms:modified>
</cp:coreProperties>
</file>