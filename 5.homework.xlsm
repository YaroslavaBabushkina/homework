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ml.chartshap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ЭтаКнига"/>
  <bookViews>
    <workbookView windowWidth="22368" windowHeight="9335"/>
  </bookViews>
  <sheets>
    <sheet name="Лист1" sheetId="1" r:id="rId1"/>
  </sheets>
  <calcPr calcId="144525"/>
</workbook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<sst xmlns="http://schemas.openxmlformats.org/spreadsheetml/2006/main" count="30" uniqueCount="18">
  <si>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</si>
  <si>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</si>
  <si>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</si>
  <si>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</si>
  <si>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</si>
  <si>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</si>
  <si>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n_iterat</t>
  </si>
  <si>
    <t>y</t>
  </si>
  <si>
    <t>U</t>
  </si>
  <si>
    <t>N_L</t>
  </si>
  <si>
    <t>V</t>
  </si>
  <si>
    <t>N_H</t>
  </si>
  <si>
    <t>Vel</t>
  </si>
  <si>
    <t>start_row</t>
  </si>
  <si>
    <t>p</t>
  </si>
  <si>
    <t>start_clmn</t>
  </si>
  <si>
    <t>Cp</t>
  </si>
  <si>
    <t>Overall</t>
  </si>
</sst>
</file>

<file path=xl/styles.xml><?xml version="1.0" encoding="utf-8"?>
<styleSheet xmlns="http://schemas.openxmlformats.org/spreadsheetml/2006/main">
  <numFmts count="5">
    <numFmt numFmtId="176" formatCode="_-* #,##0\ &quot;₽&quot;_-;\-* #,##0\ &quot;₽&quot;_-;_-* \-\ &quot;₽&quot;_-;_-@_-"/>
    <numFmt numFmtId="41" formatCode="_-* #,##0_-;\-* #,##0_-;_-* &quot;-&quot;_-;_-@_-"/>
    <numFmt numFmtId="43" formatCode="_-* #,##0.00_-;\-* #,##0.00_-;_-* &quot;-&quot;??_-;_-@_-"/>
    <numFmt numFmtId="177" formatCode="_-* #,##0.00\ &quot;₽&quot;_-;\-* #,##0.00\ &quot;₽&quot;_-;_-* \-??\ &quot;₽&quot;_-;_-@_-"/>
    <numFmt numFmtId="178" formatCode="0.0"/>
  </numFmts>
  <fonts count="22">
    <font>
      <sz val="11"/>
      <color theme="1"/>
      <name val="Calibri"/>
      <charset val="204"/>
      <scheme val="minor"/>
    </font>
    <font>
      <sz val="11"/>
      <color theme="1"/>
      <name val="Calibri"/>
      <charset val="204"/>
    </font>
    <font>
      <b/>
      <sz val="18"/>
      <color theme="3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0" fontId="6" fillId="12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/>
    <xf numFmtId="0" fontId="6" fillId="14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0" fillId="0" borderId="10" applyNumberFormat="0" applyFill="0" applyAlignment="0" applyProtection="0">
      <alignment vertical="center"/>
    </xf>
    <xf numFmtId="0" fontId="5" fillId="5" borderId="8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13" borderId="11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21" borderId="7" applyNumberFormat="0" applyAlignment="0" applyProtection="0">
      <alignment vertical="center"/>
    </xf>
    <xf numFmtId="0" fontId="15" fillId="17" borderId="12" applyNumberFormat="0" applyAlignment="0" applyProtection="0">
      <alignment vertical="center"/>
    </xf>
    <xf numFmtId="0" fontId="4" fillId="5" borderId="7" applyNumberFormat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</cellStyleXfs>
  <cellXfs count="35">
    <xf numFmtId="0" fontId="0" fillId="0" borderId="0" xfId="0"/>
    <xf numFmtId="43" fontId="0" fillId="0" borderId="0" xfId="7" applyNumberFormat="1" applyFont="1"/>
    <xf numFmtId="0" fontId="0" fillId="0" borderId="1" xfId="0" applyBorder="1"/>
    <xf numFmtId="2" fontId="0" fillId="0" borderId="0" xfId="7" applyNumberFormat="1" applyFont="1" applyAlignment="1">
      <alignment horizontal="center"/>
    </xf>
    <xf numFmtId="1" fontId="0" fillId="0" borderId="1" xfId="7" applyNumberFormat="1" applyFont="1" applyBorder="1" applyAlignment="1">
      <alignment horizontal="center"/>
    </xf>
    <xf numFmtId="0" fontId="1" fillId="2" borderId="0" xfId="0" applyFont="1" applyFill="1" applyBorder="1"/>
    <xf numFmtId="2" fontId="0" fillId="0" borderId="1" xfId="7" applyNumberFormat="1" applyFont="1" applyBorder="1" applyAlignment="1">
      <alignment horizontal="center"/>
    </xf>
    <xf numFmtId="2" fontId="0" fillId="2" borderId="2" xfId="7" applyNumberFormat="1" applyFont="1" applyFill="1" applyBorder="1" applyAlignment="1">
      <alignment horizontal="center"/>
    </xf>
    <xf numFmtId="0" fontId="0" fillId="0" borderId="0" xfId="0" applyFill="1"/>
    <xf numFmtId="0" fontId="1" fillId="0" borderId="1" xfId="0" applyFont="1" applyBorder="1"/>
    <xf numFmtId="2" fontId="0" fillId="3" borderId="2" xfId="7" applyNumberFormat="1" applyFont="1" applyFill="1" applyBorder="1" applyAlignment="1">
      <alignment horizontal="center"/>
    </xf>
    <xf numFmtId="0" fontId="0" fillId="2" borderId="0" xfId="0" applyFill="1"/>
    <xf numFmtId="2" fontId="0" fillId="0" borderId="2" xfId="7" applyNumberFormat="1" applyFont="1" applyFill="1" applyBorder="1" applyAlignment="1">
      <alignment horizontal="center"/>
    </xf>
    <xf numFmtId="2" fontId="0" fillId="2" borderId="1" xfId="7" applyNumberFormat="1" applyFont="1" applyFill="1" applyBorder="1" applyAlignment="1">
      <alignment horizontal="center"/>
    </xf>
    <xf numFmtId="2" fontId="0" fillId="4" borderId="1" xfId="7" applyNumberFormat="1" applyFont="1" applyFill="1" applyBorder="1" applyAlignment="1">
      <alignment horizontal="center"/>
    </xf>
    <xf numFmtId="2" fontId="0" fillId="3" borderId="1" xfId="7" applyNumberFormat="1" applyFont="1" applyFill="1" applyBorder="1" applyAlignment="1">
      <alignment horizontal="center"/>
    </xf>
    <xf numFmtId="2" fontId="0" fillId="0" borderId="3" xfId="7" applyNumberFormat="1" applyFont="1" applyBorder="1" applyAlignment="1">
      <alignment horizontal="center"/>
    </xf>
    <xf numFmtId="2" fontId="0" fillId="3" borderId="4" xfId="7" applyNumberFormat="1" applyFont="1" applyFill="1" applyBorder="1" applyAlignment="1">
      <alignment horizontal="center"/>
    </xf>
    <xf numFmtId="2" fontId="0" fillId="0" borderId="2" xfId="7" applyNumberFormat="1" applyFont="1" applyBorder="1" applyAlignment="1">
      <alignment horizontal="center"/>
    </xf>
    <xf numFmtId="2" fontId="0" fillId="0" borderId="0" xfId="7" applyNumberFormat="1" applyFont="1" applyFill="1" applyBorder="1" applyAlignment="1">
      <alignment horizontal="center"/>
    </xf>
    <xf numFmtId="2" fontId="0" fillId="0" borderId="0" xfId="7" applyNumberFormat="1" applyFont="1" applyBorder="1" applyAlignment="1">
      <alignment horizontal="center"/>
    </xf>
    <xf numFmtId="2" fontId="0" fillId="0" borderId="5" xfId="7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2" borderId="3" xfId="7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3" borderId="3" xfId="7" applyNumberFormat="1" applyFont="1" applyFill="1" applyBorder="1" applyAlignment="1">
      <alignment horizontal="center"/>
    </xf>
    <xf numFmtId="0" fontId="0" fillId="0" borderId="0" xfId="0" applyBorder="1"/>
    <xf numFmtId="2" fontId="0" fillId="0" borderId="1" xfId="7" applyNumberFormat="1" applyFont="1" applyFill="1" applyBorder="1" applyAlignment="1">
      <alignment horizontal="center"/>
    </xf>
    <xf numFmtId="2" fontId="0" fillId="0" borderId="6" xfId="7" applyNumberFormat="1" applyFont="1" applyBorder="1" applyAlignment="1">
      <alignment horizontal="center"/>
    </xf>
    <xf numFmtId="1" fontId="0" fillId="0" borderId="1" xfId="0" applyNumberFormat="1" applyBorder="1"/>
    <xf numFmtId="2" fontId="1" fillId="0" borderId="1" xfId="0" applyNumberFormat="1" applyFont="1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178" fontId="0" fillId="0" borderId="1" xfId="0" applyNumberFormat="1" applyBorder="1" applyAlignment="1">
      <alignment horizontal="center"/>
    </xf>
  </cellXfs>
  <cellStyles count="49">
    <cellStyle name="Обычный" xfId="0" builtinId="0"/>
    <cellStyle name="20% — Акцент3" xfId="1" builtinId="38"/>
    <cellStyle name="Денежный [0]" xfId="2" builtinId="7"/>
    <cellStyle name="40% — Акцент5" xfId="3" builtinId="47"/>
    <cellStyle name="Хороший" xfId="4" builtinId="26"/>
    <cellStyle name="Запятая [0]" xfId="5" builtinId="6"/>
    <cellStyle name="Денежный" xfId="6" builtinId="4"/>
    <cellStyle name="Запятая" xfId="7" builtinId="3"/>
    <cellStyle name="40% — Акцент6" xfId="8" builtinId="51"/>
    <cellStyle name="Процент" xfId="9" builtinId="5"/>
    <cellStyle name="20% — Акцент2" xfId="10" builtinId="34"/>
    <cellStyle name="Итого" xfId="11" builtinId="25"/>
    <cellStyle name="Вывод" xfId="12" builtinId="21"/>
    <cellStyle name="Гиперссылка" xfId="13" builtinId="8"/>
    <cellStyle name="40% — Акцент4" xfId="14" builtinId="43"/>
    <cellStyle name="Открывавшаяся гиперссылка" xfId="15" builtinId="9"/>
    <cellStyle name="Примечание" xfId="16" builtinId="10"/>
    <cellStyle name="Предупреждающий текст" xfId="17" builtinId="11"/>
    <cellStyle name="Заголовок" xfId="18" builtinId="15"/>
    <cellStyle name="Пояснительный текст" xfId="19" builtinId="53"/>
    <cellStyle name="Заголовок 1" xfId="20" builtinId="16"/>
    <cellStyle name="Заголовок 2" xfId="21" builtinId="17"/>
    <cellStyle name="Заголовок 3" xfId="22" builtinId="18"/>
    <cellStyle name="Заголовок 4" xfId="23" builtinId="19"/>
    <cellStyle name="Ввод" xfId="24" builtinId="20"/>
    <cellStyle name="Проверить ячейку" xfId="25" builtinId="23"/>
    <cellStyle name="Вычисление" xfId="26" builtinId="22"/>
    <cellStyle name="Связанная ячейка" xfId="27" builtinId="24"/>
    <cellStyle name="Плохой" xfId="28" builtinId="27"/>
    <cellStyle name="Акцент5" xfId="29" builtinId="45"/>
    <cellStyle name="Нейтральный" xfId="30" builtinId="28"/>
    <cellStyle name="Акцент1" xfId="31" builtinId="29"/>
    <cellStyle name="20% — Акцент1" xfId="32" builtinId="30"/>
    <cellStyle name="40% — Акцент1" xfId="33" builtinId="31"/>
    <cellStyle name="20% — Акцент5" xfId="34" builtinId="46"/>
    <cellStyle name="60% — Акцент1" xfId="35" builtinId="32"/>
    <cellStyle name="Акцент2" xfId="36" builtinId="33"/>
    <cellStyle name="40% — Акцент2" xfId="37" builtinId="35"/>
    <cellStyle name="20% — Акцент6" xfId="38" builtinId="50"/>
    <cellStyle name="60% — Акцент2" xfId="39" builtinId="36"/>
    <cellStyle name="Акцент3" xfId="40" builtinId="37"/>
    <cellStyle name="40% — Акцент3" xfId="41" builtinId="39"/>
    <cellStyle name="60% — Акцент3" xfId="42" builtinId="40"/>
    <cellStyle name="Акцент4" xfId="43" builtinId="41"/>
    <cellStyle name="20% — Акцент4" xfId="44" builtinId="42"/>
    <cellStyle name="60% — Акцент4" xfId="45" builtinId="44"/>
    <cellStyle name="60% — Акцент5" xfId="46" builtinId="48"/>
    <cellStyle name="Акцент6" xfId="47" builtinId="49"/>
    <cellStyle name="60% — Акцент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ColorStyle" Target="colors1.xml"/><Relationship Id="rId2" Type="http://schemas.microsoft.com/office/2011/relationships/chartStyle" Target="style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85458700479776"/>
          <c:y val="0.0896468623240277"/>
          <c:w val="0.812389125769957"/>
          <c:h val="0.839155275611325"/>
        </c:manualLayout>
      </c:layout>
      <c:lineChart>
        <c:grouping val="standard"/>
        <c:varyColors val="0"/>
        <c:ser>
          <c:idx val="1"/>
          <c:order val="0"/>
          <c:tx>
            <c:strRef>
              <c:f>"нижняя стенка"</c:f>
              <c:strCache>
                <c:ptCount val="1"/>
                <c:pt idx="0">
                  <c:v>нижняя стенка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Лист1!$Z$7:$AN$7</c:f>
              <c:numCache>
                <c:formatCode>0.00</c:formatCode>
                <c:ptCount val="15"/>
                <c:pt idx="0" c:formatCode="0.00">
                  <c:v>0</c:v>
                </c:pt>
                <c:pt idx="1" c:formatCode="0.00">
                  <c:v>0.2</c:v>
                </c:pt>
                <c:pt idx="2" c:formatCode="0.00">
                  <c:v>0.4</c:v>
                </c:pt>
                <c:pt idx="3" c:formatCode="0.00">
                  <c:v>0.6</c:v>
                </c:pt>
                <c:pt idx="4" c:formatCode="0.00">
                  <c:v>0.8</c:v>
                </c:pt>
                <c:pt idx="5" c:formatCode="0.00">
                  <c:v>1</c:v>
                </c:pt>
                <c:pt idx="6" c:formatCode="0.00">
                  <c:v>1.2</c:v>
                </c:pt>
                <c:pt idx="7" c:formatCode="0.00">
                  <c:v>1.4</c:v>
                </c:pt>
                <c:pt idx="8" c:formatCode="0.00">
                  <c:v>1.6</c:v>
                </c:pt>
                <c:pt idx="9" c:formatCode="0.00">
                  <c:v>1.8</c:v>
                </c:pt>
                <c:pt idx="10" c:formatCode="0.00">
                  <c:v>2</c:v>
                </c:pt>
                <c:pt idx="11" c:formatCode="0.00">
                  <c:v>2.2</c:v>
                </c:pt>
                <c:pt idx="12" c:formatCode="0.00">
                  <c:v>2.4</c:v>
                </c:pt>
                <c:pt idx="13" c:formatCode="0.00">
                  <c:v>2.6</c:v>
                </c:pt>
                <c:pt idx="14" c:formatCode="0.00">
                  <c:v>2.8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-0.0357370883625117</c:v>
                </c:pt>
                <c:pt idx="2">
                  <c:v>-0.0910339551378274</c:v>
                </c:pt>
                <c:pt idx="3">
                  <c:v>-0.203570951345901</c:v>
                </c:pt>
                <c:pt idx="4">
                  <c:v>-0.593346585964318</c:v>
                </c:pt>
                <c:pt idx="5">
                  <c:v>0.308640543443325</c:v>
                </c:pt>
                <c:pt idx="6">
                  <c:v>0.589700509274553</c:v>
                </c:pt>
                <c:pt idx="7">
                  <c:v>0.741844114650157</c:v>
                </c:pt>
                <c:pt idx="8">
                  <c:v>0.853632240915904</c:v>
                </c:pt>
                <c:pt idx="9">
                  <c:v>0.95233496326051</c:v>
                </c:pt>
                <c:pt idx="10">
                  <c:v>0.892414432060323</c:v>
                </c:pt>
                <c:pt idx="11">
                  <c:v>0.845490899818833</c:v>
                </c:pt>
                <c:pt idx="12">
                  <c:v>0.808915091277449</c:v>
                </c:pt>
                <c:pt idx="13">
                  <c:v>0.778369597580459</c:v>
                </c:pt>
                <c:pt idx="14">
                  <c:v>0.75</c:v>
                </c:pt>
              </c:numCache>
            </c:numRef>
          </c:val>
          <c:smooth val="1"/>
        </c:ser>
        <c:ser>
          <c:idx val="2"/>
          <c:order val="1"/>
          <c:tx>
            <c:strRef>
              <c:f>"верхняя стенка"</c:f>
              <c:strCache>
                <c:ptCount val="1"/>
                <c:pt idx="0">
                  <c:v>верхняя стенка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Lbls>
            <c:delete val="1"/>
          </c:dLbls>
          <c:cat>
            <c:numRef>
              <c:f>Лист1!$Z$7:$AN$7</c:f>
              <c:numCache>
                <c:formatCode>0.00</c:formatCode>
                <c:ptCount val="15"/>
                <c:pt idx="0" c:formatCode="0.00">
                  <c:v>0</c:v>
                </c:pt>
                <c:pt idx="1" c:formatCode="0.00">
                  <c:v>0.2</c:v>
                </c:pt>
                <c:pt idx="2" c:formatCode="0.00">
                  <c:v>0.4</c:v>
                </c:pt>
                <c:pt idx="3" c:formatCode="0.00">
                  <c:v>0.6</c:v>
                </c:pt>
                <c:pt idx="4" c:formatCode="0.00">
                  <c:v>0.8</c:v>
                </c:pt>
                <c:pt idx="5" c:formatCode="0.00">
                  <c:v>1</c:v>
                </c:pt>
                <c:pt idx="6" c:formatCode="0.00">
                  <c:v>1.2</c:v>
                </c:pt>
                <c:pt idx="7" c:formatCode="0.00">
                  <c:v>1.4</c:v>
                </c:pt>
                <c:pt idx="8" c:formatCode="0.00">
                  <c:v>1.6</c:v>
                </c:pt>
                <c:pt idx="9" c:formatCode="0.00">
                  <c:v>1.8</c:v>
                </c:pt>
                <c:pt idx="10" c:formatCode="0.00">
                  <c:v>2</c:v>
                </c:pt>
                <c:pt idx="11" c:formatCode="0.00">
                  <c:v>2.2</c:v>
                </c:pt>
                <c:pt idx="12" c:formatCode="0.00">
                  <c:v>2.4</c:v>
                </c:pt>
                <c:pt idx="13" c:formatCode="0.00">
                  <c:v>2.6</c:v>
                </c:pt>
                <c:pt idx="14" c:formatCode="0.00">
                  <c:v>2.8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0.0241081429389305</c:v>
                </c:pt>
                <c:pt idx="2">
                  <c:v>0.0557286607418791</c:v>
                </c:pt>
                <c:pt idx="3">
                  <c:v>0.103288885297079</c:v>
                </c:pt>
                <c:pt idx="4">
                  <c:v>0.174586330392922</c:v>
                </c:pt>
                <c:pt idx="5">
                  <c:v>0.269846845440916</c:v>
                </c:pt>
                <c:pt idx="6">
                  <c:v>0.36882014826173</c:v>
                </c:pt>
                <c:pt idx="7">
                  <c:v>0.457610336392245</c:v>
                </c:pt>
                <c:pt idx="8">
                  <c:v>0.531324621130188</c:v>
                </c:pt>
                <c:pt idx="9">
                  <c:v>0.59021014092461</c:v>
                </c:pt>
                <c:pt idx="10">
                  <c:v>0.636572039248422</c:v>
                </c:pt>
                <c:pt idx="11">
                  <c:v>0.673216711053101</c:v>
                </c:pt>
                <c:pt idx="12">
                  <c:v>0.702821812663751</c:v>
                </c:pt>
                <c:pt idx="13">
                  <c:v>0.72774340476637</c:v>
                </c:pt>
                <c:pt idx="14">
                  <c:v>0.75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1"/>
        <c:axId val="296305856"/>
        <c:axId val="296306248"/>
      </c:lineChart>
      <c:catAx>
        <c:axId val="29630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6306248"/>
        <c:crosses val="autoZero"/>
        <c:auto val="1"/>
        <c:lblAlgn val="ctr"/>
        <c:lblOffset val="100"/>
        <c:noMultiLvlLbl val="0"/>
      </c:catAx>
      <c:valAx>
        <c:axId val="29630624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9630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ru-RU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ru-RU"/>
      </a:pPr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23</xdr:col>
      <xdr:colOff>455295</xdr:colOff>
      <xdr:row>28</xdr:row>
      <xdr:rowOff>73660</xdr:rowOff>
    </xdr:from>
    <xdr:to>
      <xdr:col>34</xdr:col>
      <xdr:colOff>437640</xdr:colOff>
      <xdr:row>53</xdr:row>
      <xdr:rowOff>36490</xdr:rowOff>
    </xdr:to>
    <xdr:graphicFrame>
      <xdr:nvGraphicFramePr>
        <xdr:cNvPr id="3" name="Диаграмма 2"/>
        <xdr:cNvGraphicFramePr/>
      </xdr:nvGraphicFramePr>
      <xdr:xfrm>
        <a:off x="11100435" y="5194300"/>
        <a:ext cx="6592570" cy="45345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>
      <cdr:nvSpPr>
        <cdr:cNvPr id="2" name="Прямоугольник 1"/>
        <cdr:cNvSpPr/>
      </cdr:nvSpPr>
      <cdr:spPr xmlns:a="http://schemas.openxmlformats.org/drawingml/2006/main"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endParaRPr lang="ru-RU" sz="1100"/>
        </a:p>
      </cdr:txBody>
    </cdr:sp>
  </cdr:relSizeAnchor>
  <cdr:relSizeAnchor xmlns:cdr="http://schemas.openxmlformats.org/drawingml/2006/chartDrawing">
    <cdr:from>
      <cdr:x>0</cdr:x>
      <cdr:y>0</cdr:y>
    </cdr:from>
    <cdr:to>
      <cdr:x>0.07805</cdr:x>
      <cdr:y>0.09738</cdr:y>
    </cdr:to>
    <cdr:sp>
      <cdr:nvSpPr>
        <cdr:cNvPr id="3" name="Прямоугольник 2"/>
        <cdr:cNvSpPr/>
      </cdr:nvSpPr>
      <cdr:spPr xmlns:a="http://schemas.openxmlformats.org/drawingml/2006/main">
        <a:xfrm xmlns:a="http://schemas.openxmlformats.org/drawingml/2006/main">
          <a:off x="0" y="0"/>
          <a:ext cx="511428" cy="448808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vertOverflow="clip" wrap="square" rtlCol="0"/>
        <a:lstStyle/>
        <a:p>
          <a:r>
            <a:rPr lang="en-US" sz="1800" b="1" i="1">
              <a:latin typeface="+mj-lt"/>
              <a:cs typeface="+mj-lt"/>
            </a:rPr>
            <a:t>Cp</a:t>
          </a:r>
          <a:endParaRPr lang="ru-RU" sz="1800" b="1" i="1">
            <a:latin typeface="+mj-lt"/>
            <a:cs typeface="+mj-lt"/>
          </a:endParaRPr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>
      <cdr:nvSpPr>
        <cdr:cNvPr id="4" name="Прямоугольник 3"/>
        <cdr:cNvSpPr/>
      </cdr:nvSpPr>
      <cdr:spPr xmlns:a="http://schemas.openxmlformats.org/drawingml/2006/main"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 xmlns:a="http://schemas.openxmlformats.org/drawingml/2006/main"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 b="1" i="1">
              <a:latin typeface="+mj-lt"/>
              <a:cs typeface="+mj-lt"/>
            </a:rPr>
            <a:t>X, </a:t>
          </a:r>
          <a:r>
            <a:rPr lang="ru-RU" sz="1800" b="1" i="1">
              <a:latin typeface="+mj-lt"/>
              <a:cs typeface="+mj-lt"/>
            </a:rPr>
            <a:t>м</a:t>
          </a:r>
          <a:endParaRPr lang="ru-RU" sz="1800"/>
        </a:p>
        <a:p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Лист1"/>
  <dimension ref="A1:AN72"/>
  <sheetViews>
    <sheetView tabSelected="1" zoomScale="82" zoomScaleNormal="82" workbookViewId="0">
      <selection activeCell="F46" sqref="F46"/>
    </sheetView>
  </sheetViews>
  <sheetFormatPr defaultColWidth="9" defaultRowHeight="14.4"/>
  <cols>
    <col min="1" max="1" width="9.28703703703704" customWidth="1"/>
    <col min="7" max="7" width="5.13888888888889" customWidth="1"/>
    <col min="8" max="22" width="6.13888888888889" customWidth="1"/>
    <col min="23" max="23" width="3.71296296296296" customWidth="1"/>
    <col min="25" max="25" width="5.13888888888889" customWidth="1"/>
    <col min="26" max="40" width="9.13888888888889" customWidth="1"/>
  </cols>
  <sheetData>
    <row r="1" spans="7:22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>
      <c r="A2" s="2" t="s">
        <v>0</v>
      </c>
      <c r="B2" s="2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7:22"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3">
      <c r="A4" s="2" t="s">
        <v>1</v>
      </c>
      <c r="B4" s="2">
        <v>10</v>
      </c>
      <c r="G4" s="3"/>
      <c r="H4" s="4">
        <v>1</v>
      </c>
      <c r="I4" s="4">
        <v>2</v>
      </c>
      <c r="J4" s="4">
        <v>3</v>
      </c>
      <c r="K4" s="4">
        <v>4</v>
      </c>
      <c r="L4" s="4">
        <v>5</v>
      </c>
      <c r="M4" s="4">
        <v>6</v>
      </c>
      <c r="N4" s="4">
        <v>7</v>
      </c>
      <c r="O4" s="4">
        <v>8</v>
      </c>
      <c r="P4" s="4">
        <v>9</v>
      </c>
      <c r="Q4" s="4">
        <v>10</v>
      </c>
      <c r="R4" s="4">
        <v>11</v>
      </c>
      <c r="S4" s="4">
        <v>12</v>
      </c>
      <c r="T4" s="4">
        <v>13</v>
      </c>
      <c r="U4" s="4">
        <v>14</v>
      </c>
      <c r="V4" s="4">
        <v>15</v>
      </c>
      <c r="W4" s="22"/>
    </row>
    <row r="5" spans="1:40">
      <c r="A5" s="2" t="s">
        <v>2</v>
      </c>
      <c r="B5" s="2">
        <v>101325</v>
      </c>
      <c r="F5" s="5" t="s">
        <v>3</v>
      </c>
      <c r="G5" s="6">
        <f t="shared" ref="G5:G14" si="0">G6+B$2</f>
        <v>2</v>
      </c>
      <c r="H5" s="7">
        <f t="shared" ref="H5:H9" si="1">H6+$B$4*$B$2</f>
        <v>10</v>
      </c>
      <c r="I5" s="13">
        <f>H5</f>
        <v>10</v>
      </c>
      <c r="J5" s="13">
        <f t="shared" ref="J5:V5" si="2">I5</f>
        <v>10</v>
      </c>
      <c r="K5" s="13">
        <f t="shared" si="2"/>
        <v>10</v>
      </c>
      <c r="L5" s="13">
        <f t="shared" si="2"/>
        <v>10</v>
      </c>
      <c r="M5" s="13">
        <f t="shared" si="2"/>
        <v>10</v>
      </c>
      <c r="N5" s="13">
        <f t="shared" si="2"/>
        <v>10</v>
      </c>
      <c r="O5" s="13">
        <f t="shared" si="2"/>
        <v>10</v>
      </c>
      <c r="P5" s="13">
        <f t="shared" si="2"/>
        <v>10</v>
      </c>
      <c r="Q5" s="13">
        <f t="shared" si="2"/>
        <v>10</v>
      </c>
      <c r="R5" s="13">
        <f t="shared" si="2"/>
        <v>10</v>
      </c>
      <c r="S5" s="13">
        <f t="shared" si="2"/>
        <v>10</v>
      </c>
      <c r="T5" s="13">
        <f t="shared" si="2"/>
        <v>10</v>
      </c>
      <c r="U5" s="13">
        <f t="shared" si="2"/>
        <v>10</v>
      </c>
      <c r="V5" s="13">
        <f t="shared" si="2"/>
        <v>10</v>
      </c>
      <c r="W5" s="23">
        <v>11</v>
      </c>
      <c r="Y5" s="30">
        <v>0</v>
      </c>
      <c r="Z5" s="30">
        <v>1</v>
      </c>
      <c r="AA5" s="30">
        <v>2</v>
      </c>
      <c r="AB5" s="30">
        <v>3</v>
      </c>
      <c r="AC5" s="30">
        <v>4</v>
      </c>
      <c r="AD5" s="30">
        <v>5</v>
      </c>
      <c r="AE5" s="30">
        <v>6</v>
      </c>
      <c r="AF5" s="30">
        <v>7</v>
      </c>
      <c r="AG5" s="30">
        <v>8</v>
      </c>
      <c r="AH5" s="30">
        <v>9</v>
      </c>
      <c r="AI5" s="30">
        <v>10</v>
      </c>
      <c r="AJ5" s="30">
        <v>11</v>
      </c>
      <c r="AK5" s="30">
        <v>12</v>
      </c>
      <c r="AL5" s="30">
        <v>13</v>
      </c>
      <c r="AM5" s="30">
        <v>14</v>
      </c>
      <c r="AN5" s="30">
        <v>15</v>
      </c>
    </row>
    <row r="6" spans="1:40">
      <c r="A6" s="2" t="s">
        <v>4</v>
      </c>
      <c r="B6" s="2">
        <f>((G5-G10)*B4)/(G5-G15)</f>
        <v>5</v>
      </c>
      <c r="G6" s="6">
        <f t="shared" si="0"/>
        <v>1.8</v>
      </c>
      <c r="H6" s="7">
        <f t="shared" si="1"/>
        <v>8</v>
      </c>
      <c r="I6" s="14">
        <f>0.25*(I19+J20+I21+H20)</f>
        <v>8.02834465361189</v>
      </c>
      <c r="J6" s="14">
        <f t="shared" ref="J6:U6" si="3">0.25*(J19+K20+J21+I20)</f>
        <v>8.06486817067522</v>
      </c>
      <c r="K6" s="14">
        <f t="shared" si="3"/>
        <v>8.11807302845959</v>
      </c>
      <c r="L6" s="14">
        <f t="shared" si="3"/>
        <v>8.19521721038987</v>
      </c>
      <c r="M6" s="14">
        <f t="shared" si="3"/>
        <v>8.29688699435999</v>
      </c>
      <c r="N6" s="14">
        <f t="shared" si="3"/>
        <v>8.41029075408085</v>
      </c>
      <c r="O6" s="14">
        <f t="shared" si="3"/>
        <v>8.52214915156036</v>
      </c>
      <c r="P6" s="14">
        <f t="shared" si="3"/>
        <v>8.62419020456225</v>
      </c>
      <c r="Q6" s="14">
        <f t="shared" si="3"/>
        <v>8.71300646326521</v>
      </c>
      <c r="R6" s="14">
        <f t="shared" si="3"/>
        <v>8.78842888937202</v>
      </c>
      <c r="S6" s="14">
        <f t="shared" si="3"/>
        <v>8.85210855761064</v>
      </c>
      <c r="T6" s="14">
        <f t="shared" si="3"/>
        <v>8.90660382422242</v>
      </c>
      <c r="U6" s="14">
        <f t="shared" si="3"/>
        <v>8.95486882217836</v>
      </c>
      <c r="V6" s="13">
        <f t="shared" ref="V6:V14" si="4">V7+$B$6*$B$2</f>
        <v>9</v>
      </c>
      <c r="W6" s="23">
        <v>10</v>
      </c>
      <c r="Y6" s="31" t="s">
        <v>3</v>
      </c>
      <c r="Z6" s="32">
        <f>H10</f>
        <v>0</v>
      </c>
      <c r="AA6" s="32">
        <f t="shared" ref="AA6:AD6" si="5">I10</f>
        <v>0</v>
      </c>
      <c r="AB6" s="32">
        <f t="shared" si="5"/>
        <v>0</v>
      </c>
      <c r="AC6" s="32">
        <f t="shared" si="5"/>
        <v>0</v>
      </c>
      <c r="AD6" s="32">
        <f t="shared" si="5"/>
        <v>0</v>
      </c>
      <c r="AE6" s="32">
        <f>M11</f>
        <v>0</v>
      </c>
      <c r="AF6" s="32">
        <f>N12</f>
        <v>0</v>
      </c>
      <c r="AG6" s="32">
        <f>O13</f>
        <v>0</v>
      </c>
      <c r="AH6" s="32">
        <f>P14</f>
        <v>0</v>
      </c>
      <c r="AI6" s="32">
        <f>Q15</f>
        <v>0</v>
      </c>
      <c r="AJ6" s="32">
        <f t="shared" ref="AJ6:AN6" si="6">R15</f>
        <v>0</v>
      </c>
      <c r="AK6" s="32">
        <f t="shared" si="6"/>
        <v>0</v>
      </c>
      <c r="AL6" s="32">
        <f t="shared" si="6"/>
        <v>0</v>
      </c>
      <c r="AM6" s="32">
        <f t="shared" si="6"/>
        <v>0</v>
      </c>
      <c r="AN6" s="32">
        <f t="shared" si="6"/>
        <v>0</v>
      </c>
    </row>
    <row r="7" spans="7:40">
      <c r="G7" s="6">
        <f t="shared" si="0"/>
        <v>1.6</v>
      </c>
      <c r="H7" s="7">
        <f t="shared" si="1"/>
        <v>6</v>
      </c>
      <c r="I7" s="14">
        <f t="shared" ref="I7:U7" si="7">0.25*(I20+J21+I22+H21)</f>
        <v>6.04851044377234</v>
      </c>
      <c r="J7" s="14">
        <f t="shared" si="7"/>
        <v>6.11305500062938</v>
      </c>
      <c r="K7" s="14">
        <f t="shared" si="7"/>
        <v>6.21220673277329</v>
      </c>
      <c r="L7" s="14">
        <f t="shared" si="7"/>
        <v>6.3659088187399</v>
      </c>
      <c r="M7" s="14">
        <f t="shared" si="7"/>
        <v>6.58204001296922</v>
      </c>
      <c r="N7" s="14">
        <f t="shared" si="7"/>
        <v>6.82212687040305</v>
      </c>
      <c r="O7" s="14">
        <f t="shared" si="7"/>
        <v>7.05411564759835</v>
      </c>
      <c r="P7" s="14">
        <f t="shared" si="7"/>
        <v>7.26160520342343</v>
      </c>
      <c r="Q7" s="14">
        <f t="shared" si="7"/>
        <v>7.43940675912657</v>
      </c>
      <c r="R7" s="14">
        <f t="shared" si="7"/>
        <v>7.58860053661225</v>
      </c>
      <c r="S7" s="14">
        <f t="shared" si="7"/>
        <v>7.71340151684811</v>
      </c>
      <c r="T7" s="14">
        <f t="shared" si="7"/>
        <v>7.81943791710069</v>
      </c>
      <c r="U7" s="14">
        <f t="shared" si="7"/>
        <v>7.91287146449103</v>
      </c>
      <c r="V7" s="13">
        <f t="shared" si="4"/>
        <v>8</v>
      </c>
      <c r="W7" s="23">
        <v>9</v>
      </c>
      <c r="Y7" s="33" t="s">
        <v>5</v>
      </c>
      <c r="Z7" s="32">
        <f>H16</f>
        <v>0</v>
      </c>
      <c r="AA7" s="32">
        <f t="shared" ref="AA7:AN7" si="8">I16</f>
        <v>0.2</v>
      </c>
      <c r="AB7" s="32">
        <f t="shared" si="8"/>
        <v>0.4</v>
      </c>
      <c r="AC7" s="32">
        <f t="shared" si="8"/>
        <v>0.6</v>
      </c>
      <c r="AD7" s="32">
        <f t="shared" si="8"/>
        <v>0.8</v>
      </c>
      <c r="AE7" s="32">
        <f t="shared" si="8"/>
        <v>1</v>
      </c>
      <c r="AF7" s="32">
        <f t="shared" si="8"/>
        <v>1.2</v>
      </c>
      <c r="AG7" s="32">
        <f t="shared" si="8"/>
        <v>1.4</v>
      </c>
      <c r="AH7" s="32">
        <f t="shared" si="8"/>
        <v>1.6</v>
      </c>
      <c r="AI7" s="32">
        <f t="shared" si="8"/>
        <v>1.8</v>
      </c>
      <c r="AJ7" s="32">
        <f t="shared" si="8"/>
        <v>2</v>
      </c>
      <c r="AK7" s="32">
        <f t="shared" si="8"/>
        <v>2.2</v>
      </c>
      <c r="AL7" s="32">
        <f t="shared" si="8"/>
        <v>2.4</v>
      </c>
      <c r="AM7" s="32">
        <f t="shared" si="8"/>
        <v>2.6</v>
      </c>
      <c r="AN7" s="32">
        <f t="shared" si="8"/>
        <v>2.8</v>
      </c>
    </row>
    <row r="8" spans="1:40">
      <c r="A8" s="2" t="s">
        <v>6</v>
      </c>
      <c r="B8" s="2">
        <v>300</v>
      </c>
      <c r="C8">
        <v>300</v>
      </c>
      <c r="G8" s="6">
        <f t="shared" si="0"/>
        <v>1.4</v>
      </c>
      <c r="H8" s="7">
        <f t="shared" si="1"/>
        <v>4</v>
      </c>
      <c r="I8" s="14">
        <f t="shared" ref="I8:U8" si="9">0.25*(I21+J22+I23+H22)</f>
        <v>4.05264212084807</v>
      </c>
      <c r="J8" s="14">
        <f t="shared" si="9"/>
        <v>4.12663465529668</v>
      </c>
      <c r="K8" s="14">
        <f t="shared" si="9"/>
        <v>4.2517900832643</v>
      </c>
      <c r="L8" s="14">
        <f t="shared" si="9"/>
        <v>4.47417131882722</v>
      </c>
      <c r="M8" s="14">
        <f t="shared" si="9"/>
        <v>4.84323736837396</v>
      </c>
      <c r="N8" s="14">
        <f t="shared" si="9"/>
        <v>5.24206106696378</v>
      </c>
      <c r="O8" s="14">
        <f t="shared" si="9"/>
        <v>5.61058136500655</v>
      </c>
      <c r="P8" s="14">
        <f t="shared" si="9"/>
        <v>5.92870820240655</v>
      </c>
      <c r="Q8" s="14">
        <f t="shared" si="9"/>
        <v>6.1944148332054</v>
      </c>
      <c r="R8" s="14">
        <f t="shared" si="9"/>
        <v>6.41316498110228</v>
      </c>
      <c r="S8" s="14">
        <f t="shared" si="9"/>
        <v>6.59345905606888</v>
      </c>
      <c r="T8" s="14">
        <f t="shared" si="9"/>
        <v>6.74487486284119</v>
      </c>
      <c r="U8" s="14">
        <f t="shared" si="9"/>
        <v>6.87717911868507</v>
      </c>
      <c r="V8" s="13">
        <f t="shared" si="4"/>
        <v>7</v>
      </c>
      <c r="W8" s="23">
        <v>8</v>
      </c>
      <c r="Y8" s="33" t="s">
        <v>7</v>
      </c>
      <c r="Z8" s="32">
        <f>$G10</f>
        <v>1</v>
      </c>
      <c r="AA8" s="32">
        <f t="shared" ref="AA8:AD8" si="10">$G10</f>
        <v>1</v>
      </c>
      <c r="AB8" s="32">
        <f t="shared" si="10"/>
        <v>1</v>
      </c>
      <c r="AC8" s="32">
        <f t="shared" si="10"/>
        <v>1</v>
      </c>
      <c r="AD8" s="32">
        <f t="shared" si="10"/>
        <v>1</v>
      </c>
      <c r="AE8" s="32">
        <f>G11</f>
        <v>0.8</v>
      </c>
      <c r="AF8" s="32">
        <f>G12</f>
        <v>0.6</v>
      </c>
      <c r="AG8" s="32">
        <f>G13</f>
        <v>0.4</v>
      </c>
      <c r="AH8" s="32">
        <f>G14</f>
        <v>0.2</v>
      </c>
      <c r="AI8" s="32">
        <f>$G15</f>
        <v>0</v>
      </c>
      <c r="AJ8" s="32">
        <f t="shared" ref="AJ8:AN8" si="11">$G15</f>
        <v>0</v>
      </c>
      <c r="AK8" s="32">
        <f t="shared" si="11"/>
        <v>0</v>
      </c>
      <c r="AL8" s="32">
        <f t="shared" si="11"/>
        <v>0</v>
      </c>
      <c r="AM8" s="32">
        <f t="shared" si="11"/>
        <v>0</v>
      </c>
      <c r="AN8" s="32">
        <f t="shared" si="11"/>
        <v>0</v>
      </c>
    </row>
    <row r="9" spans="7:40">
      <c r="G9" s="6">
        <f t="shared" si="0"/>
        <v>1.2</v>
      </c>
      <c r="H9" s="7">
        <f t="shared" si="1"/>
        <v>2</v>
      </c>
      <c r="I9" s="14">
        <f t="shared" ref="I9:U14" si="12">0.25*(I22+J23+I24+H23)</f>
        <v>2.03542338432326</v>
      </c>
      <c r="J9" s="14">
        <f t="shared" si="12"/>
        <v>2.08905141644499</v>
      </c>
      <c r="K9" s="14">
        <f t="shared" si="12"/>
        <v>2.19414762616</v>
      </c>
      <c r="L9" s="14">
        <f t="shared" si="12"/>
        <v>2.43574900493071</v>
      </c>
      <c r="M9" s="14">
        <f t="shared" si="12"/>
        <v>3.07467707473562</v>
      </c>
      <c r="N9" s="14">
        <f t="shared" si="12"/>
        <v>3.69229866407156</v>
      </c>
      <c r="O9" s="14">
        <f t="shared" si="12"/>
        <v>4.21744054305751</v>
      </c>
      <c r="P9" s="14">
        <f t="shared" si="12"/>
        <v>4.64823140799083</v>
      </c>
      <c r="Q9" s="14">
        <f t="shared" si="12"/>
        <v>4.99637939018621</v>
      </c>
      <c r="R9" s="14">
        <f t="shared" si="12"/>
        <v>5.2761854985226</v>
      </c>
      <c r="S9" s="14">
        <f t="shared" si="12"/>
        <v>5.50239486348394</v>
      </c>
      <c r="T9" s="14">
        <f t="shared" si="12"/>
        <v>5.68942335951012</v>
      </c>
      <c r="U9" s="14">
        <f t="shared" si="12"/>
        <v>5.85097014740806</v>
      </c>
      <c r="V9" s="13">
        <f t="shared" si="4"/>
        <v>6</v>
      </c>
      <c r="W9" s="23">
        <v>7</v>
      </c>
      <c r="Y9" s="33" t="s">
        <v>8</v>
      </c>
      <c r="Z9" s="32">
        <f>H38</f>
        <v>10</v>
      </c>
      <c r="AA9" s="32">
        <f>I38</f>
        <v>10.1771169216163</v>
      </c>
      <c r="AB9" s="32">
        <f t="shared" ref="AB9:AD9" si="13">J38</f>
        <v>10.4452570822249</v>
      </c>
      <c r="AC9" s="32">
        <f t="shared" si="13"/>
        <v>10.9707381308</v>
      </c>
      <c r="AD9" s="32">
        <f t="shared" si="13"/>
        <v>12.1787450246535</v>
      </c>
      <c r="AE9" s="32">
        <f>M39</f>
        <v>6.6371163078312</v>
      </c>
      <c r="AF9" s="32">
        <f>N40</f>
        <v>5.00845612659235</v>
      </c>
      <c r="AG9" s="32">
        <f>O41</f>
        <v>3.99315868712155</v>
      </c>
      <c r="AH9" s="32">
        <f>P42</f>
        <v>3.14169894077345</v>
      </c>
      <c r="AI9" s="32">
        <f t="shared" ref="AI9:AN9" si="14">Q43</f>
        <v>2.18323239119113</v>
      </c>
      <c r="AJ9" s="32">
        <f t="shared" si="14"/>
        <v>3.28002390143424</v>
      </c>
      <c r="AK9" s="32">
        <f t="shared" si="14"/>
        <v>3.93076455897704</v>
      </c>
      <c r="AL9" s="32">
        <f t="shared" si="14"/>
        <v>4.37132598558686</v>
      </c>
      <c r="AM9" s="32">
        <f t="shared" si="14"/>
        <v>4.70776382605946</v>
      </c>
      <c r="AN9" s="32">
        <f t="shared" si="14"/>
        <v>5</v>
      </c>
    </row>
    <row r="10" spans="1:40">
      <c r="A10" s="2" t="s">
        <v>9</v>
      </c>
      <c r="B10" s="2">
        <v>15</v>
      </c>
      <c r="G10" s="6">
        <f t="shared" si="0"/>
        <v>1</v>
      </c>
      <c r="H10" s="7">
        <v>0</v>
      </c>
      <c r="I10" s="13">
        <v>0</v>
      </c>
      <c r="J10" s="13">
        <v>0</v>
      </c>
      <c r="K10" s="13">
        <v>0</v>
      </c>
      <c r="L10" s="13">
        <v>0</v>
      </c>
      <c r="M10" s="14">
        <f t="shared" si="12"/>
        <v>1.32742326156624</v>
      </c>
      <c r="N10" s="14">
        <f t="shared" si="12"/>
        <v>2.23501597152935</v>
      </c>
      <c r="O10" s="14">
        <f t="shared" si="12"/>
        <v>2.91865073516111</v>
      </c>
      <c r="P10" s="14">
        <f t="shared" si="12"/>
        <v>3.45039749631305</v>
      </c>
      <c r="Q10" s="14">
        <f t="shared" si="12"/>
        <v>3.866685821026</v>
      </c>
      <c r="R10" s="14">
        <f t="shared" si="12"/>
        <v>4.19280275931799</v>
      </c>
      <c r="S10" s="14">
        <f t="shared" si="12"/>
        <v>4.45051153983415</v>
      </c>
      <c r="T10" s="14">
        <f t="shared" si="12"/>
        <v>4.65945356430729</v>
      </c>
      <c r="U10" s="14">
        <f t="shared" si="12"/>
        <v>4.83727811143706</v>
      </c>
      <c r="V10" s="13">
        <f t="shared" si="4"/>
        <v>5</v>
      </c>
      <c r="W10" s="23">
        <v>6</v>
      </c>
      <c r="Y10" s="33" t="s">
        <v>10</v>
      </c>
      <c r="Z10" s="32">
        <f>H52</f>
        <v>0</v>
      </c>
      <c r="AA10" s="32">
        <f t="shared" ref="AA10:AD10" si="15">I52</f>
        <v>0</v>
      </c>
      <c r="AB10" s="32">
        <f t="shared" si="15"/>
        <v>0</v>
      </c>
      <c r="AC10" s="32">
        <f t="shared" si="15"/>
        <v>0</v>
      </c>
      <c r="AD10" s="32">
        <f t="shared" si="15"/>
        <v>-3.3185581539156</v>
      </c>
      <c r="AE10" s="32">
        <f>M53</f>
        <v>-5.00845612659235</v>
      </c>
      <c r="AF10" s="32">
        <f>N54</f>
        <v>-3.99315868712155</v>
      </c>
      <c r="AG10" s="32">
        <f>O55</f>
        <v>-3.14169894077345</v>
      </c>
      <c r="AH10" s="32">
        <f>P56</f>
        <v>-2.18323239119113</v>
      </c>
      <c r="AI10" s="32">
        <f>Q57</f>
        <v>0</v>
      </c>
      <c r="AJ10" s="32">
        <f t="shared" ref="AJ10:AN10" si="16">R57</f>
        <v>0</v>
      </c>
      <c r="AK10" s="32">
        <f t="shared" si="16"/>
        <v>0</v>
      </c>
      <c r="AL10" s="32">
        <f t="shared" si="16"/>
        <v>0</v>
      </c>
      <c r="AM10" s="32">
        <f t="shared" si="16"/>
        <v>0</v>
      </c>
      <c r="AN10" s="32">
        <f t="shared" si="16"/>
        <v>0</v>
      </c>
    </row>
    <row r="11" spans="1:40">
      <c r="A11" s="2" t="s">
        <v>11</v>
      </c>
      <c r="B11" s="2">
        <v>11</v>
      </c>
      <c r="G11" s="6">
        <f t="shared" si="0"/>
        <v>0.8</v>
      </c>
      <c r="H11" s="3"/>
      <c r="I11" s="3"/>
      <c r="J11" s="3"/>
      <c r="K11" s="3"/>
      <c r="L11" s="3"/>
      <c r="M11" s="13">
        <v>0</v>
      </c>
      <c r="N11" s="14">
        <f t="shared" si="12"/>
        <v>1.00169122531847</v>
      </c>
      <c r="O11" s="14">
        <f t="shared" si="12"/>
        <v>1.77174892974454</v>
      </c>
      <c r="P11" s="14">
        <f t="shared" si="12"/>
        <v>2.36802202107426</v>
      </c>
      <c r="Q11" s="14">
        <f t="shared" si="12"/>
        <v>2.82716363828675</v>
      </c>
      <c r="R11" s="14">
        <f t="shared" si="12"/>
        <v>3.1778281778892</v>
      </c>
      <c r="S11" s="14">
        <f t="shared" si="12"/>
        <v>3.44739497222737</v>
      </c>
      <c r="T11" s="14">
        <f t="shared" si="12"/>
        <v>3.66060124644783</v>
      </c>
      <c r="U11" s="14">
        <f t="shared" si="12"/>
        <v>3.8386887340329</v>
      </c>
      <c r="V11" s="13">
        <f t="shared" si="4"/>
        <v>4</v>
      </c>
      <c r="W11" s="23">
        <v>5</v>
      </c>
      <c r="Y11" s="33" t="s">
        <v>12</v>
      </c>
      <c r="Z11" s="32">
        <f>((Z9)^2+(Z10)^2)^0.5</f>
        <v>10</v>
      </c>
      <c r="AA11" s="32">
        <f t="shared" ref="AA11:AN11" si="17">((AA9)^2+(AA10)^2)^0.5</f>
        <v>10.1771169216163</v>
      </c>
      <c r="AB11" s="32">
        <f t="shared" si="17"/>
        <v>10.4452570822249</v>
      </c>
      <c r="AC11" s="32">
        <f t="shared" si="17"/>
        <v>10.9707381308</v>
      </c>
      <c r="AD11" s="32">
        <f t="shared" si="17"/>
        <v>12.6227833141682</v>
      </c>
      <c r="AE11" s="32">
        <f t="shared" si="17"/>
        <v>8.31480280317455</v>
      </c>
      <c r="AF11" s="32">
        <f t="shared" si="17"/>
        <v>6.40546244017829</v>
      </c>
      <c r="AG11" s="32">
        <f t="shared" si="17"/>
        <v>5.08090430287673</v>
      </c>
      <c r="AH11" s="32">
        <f t="shared" si="17"/>
        <v>3.8258039558246</v>
      </c>
      <c r="AI11" s="32">
        <f t="shared" si="17"/>
        <v>2.18323239119113</v>
      </c>
      <c r="AJ11" s="32">
        <f t="shared" si="17"/>
        <v>3.28002390143424</v>
      </c>
      <c r="AK11" s="32">
        <f t="shared" si="17"/>
        <v>3.93076455897704</v>
      </c>
      <c r="AL11" s="32">
        <f t="shared" si="17"/>
        <v>4.37132598558686</v>
      </c>
      <c r="AM11" s="32">
        <f t="shared" si="17"/>
        <v>4.70776382605946</v>
      </c>
      <c r="AN11" s="32">
        <f t="shared" si="17"/>
        <v>5</v>
      </c>
    </row>
    <row r="12" spans="1:40">
      <c r="A12" s="2" t="s">
        <v>13</v>
      </c>
      <c r="B12" s="2">
        <v>15</v>
      </c>
      <c r="F12" s="8"/>
      <c r="G12" s="6">
        <f t="shared" si="0"/>
        <v>0.6</v>
      </c>
      <c r="H12" s="3"/>
      <c r="I12" s="3"/>
      <c r="J12" s="3"/>
      <c r="K12" s="3"/>
      <c r="L12" s="3"/>
      <c r="M12" s="3"/>
      <c r="N12" s="13">
        <v>0</v>
      </c>
      <c r="O12" s="14">
        <f t="shared" si="12"/>
        <v>0.79863173742431</v>
      </c>
      <c r="P12" s="14">
        <f t="shared" si="12"/>
        <v>1.4227780199527</v>
      </c>
      <c r="Q12" s="14">
        <f t="shared" si="12"/>
        <v>1.89611853315756</v>
      </c>
      <c r="R12" s="14">
        <f t="shared" si="12"/>
        <v>2.24395134172471</v>
      </c>
      <c r="S12" s="14">
        <f t="shared" si="12"/>
        <v>2.50063892473831</v>
      </c>
      <c r="T12" s="14">
        <f t="shared" si="12"/>
        <v>2.69686771522376</v>
      </c>
      <c r="U12" s="14">
        <f t="shared" si="12"/>
        <v>2.85687557824672</v>
      </c>
      <c r="V12" s="13">
        <f t="shared" si="4"/>
        <v>3</v>
      </c>
      <c r="W12" s="23">
        <v>4</v>
      </c>
      <c r="Y12" s="33" t="s">
        <v>14</v>
      </c>
      <c r="Z12" s="34">
        <f>B5</f>
        <v>101325</v>
      </c>
      <c r="AA12" s="34">
        <f>(Z12+(Z11^2)/2)-(AA11^2)/2</f>
        <v>101323.213145582</v>
      </c>
      <c r="AB12" s="34">
        <f t="shared" ref="AB12:AN12" si="18">(AA12+(AA11^2)/2)-(AB11^2)/2</f>
        <v>101320.448302243</v>
      </c>
      <c r="AC12" s="34">
        <f t="shared" si="18"/>
        <v>101314.821452433</v>
      </c>
      <c r="AD12" s="34">
        <f t="shared" si="18"/>
        <v>101295.332670702</v>
      </c>
      <c r="AE12" s="34">
        <f t="shared" si="18"/>
        <v>101340.432027172</v>
      </c>
      <c r="AF12" s="34">
        <f t="shared" si="18"/>
        <v>101354.485025464</v>
      </c>
      <c r="AG12" s="34">
        <f t="shared" si="18"/>
        <v>101362.092205733</v>
      </c>
      <c r="AH12" s="34">
        <f t="shared" si="18"/>
        <v>101367.681612046</v>
      </c>
      <c r="AI12" s="34">
        <f t="shared" si="18"/>
        <v>101372.616748163</v>
      </c>
      <c r="AJ12" s="34">
        <f t="shared" si="18"/>
        <v>101369.620721603</v>
      </c>
      <c r="AK12" s="34">
        <f t="shared" si="18"/>
        <v>101367.274544991</v>
      </c>
      <c r="AL12" s="34">
        <f t="shared" si="18"/>
        <v>101365.445754564</v>
      </c>
      <c r="AM12" s="34">
        <f t="shared" si="18"/>
        <v>101363.918479879</v>
      </c>
      <c r="AN12" s="34">
        <f t="shared" si="18"/>
        <v>101362.5</v>
      </c>
    </row>
    <row r="13" spans="1:40">
      <c r="A13" s="2" t="s">
        <v>15</v>
      </c>
      <c r="B13" s="2">
        <v>6</v>
      </c>
      <c r="G13" s="6">
        <f t="shared" si="0"/>
        <v>0.4</v>
      </c>
      <c r="H13" s="3"/>
      <c r="I13" s="3"/>
      <c r="J13" s="3"/>
      <c r="K13" s="3"/>
      <c r="L13" s="3"/>
      <c r="M13" s="3"/>
      <c r="N13" s="3"/>
      <c r="O13" s="13">
        <v>0</v>
      </c>
      <c r="P13" s="14">
        <f t="shared" si="12"/>
        <v>0.62833978815469</v>
      </c>
      <c r="Q13" s="14">
        <f t="shared" si="12"/>
        <v>1.09058113266606</v>
      </c>
      <c r="R13" s="14">
        <f t="shared" si="12"/>
        <v>1.40121973111376</v>
      </c>
      <c r="S13" s="14">
        <f t="shared" si="12"/>
        <v>1.61434166977742</v>
      </c>
      <c r="T13" s="14">
        <f t="shared" si="12"/>
        <v>1.76935511146219</v>
      </c>
      <c r="U13" s="14">
        <f t="shared" si="12"/>
        <v>1.8919458637302</v>
      </c>
      <c r="V13" s="13">
        <f t="shared" si="4"/>
        <v>2</v>
      </c>
      <c r="W13" s="23">
        <v>3</v>
      </c>
      <c r="Y13" s="33" t="s">
        <v>16</v>
      </c>
      <c r="Z13" s="32">
        <f>(Z12-$B$5)/(($B$4^2)/2)</f>
        <v>0</v>
      </c>
      <c r="AA13" s="32">
        <f t="shared" ref="AA13:AN13" si="19">(AA12-$B$5)/(($B$4^2)/2)</f>
        <v>-0.0357370883625117</v>
      </c>
      <c r="AB13" s="32">
        <f t="shared" si="19"/>
        <v>-0.0910339551378274</v>
      </c>
      <c r="AC13" s="32">
        <f t="shared" si="19"/>
        <v>-0.203570951345901</v>
      </c>
      <c r="AD13" s="32">
        <f t="shared" si="19"/>
        <v>-0.593346585964318</v>
      </c>
      <c r="AE13" s="32">
        <f t="shared" si="19"/>
        <v>0.308640543443325</v>
      </c>
      <c r="AF13" s="32">
        <f t="shared" si="19"/>
        <v>0.589700509274553</v>
      </c>
      <c r="AG13" s="32">
        <f t="shared" si="19"/>
        <v>0.741844114650157</v>
      </c>
      <c r="AH13" s="32">
        <f t="shared" si="19"/>
        <v>0.853632240915904</v>
      </c>
      <c r="AI13" s="32">
        <f t="shared" si="19"/>
        <v>0.95233496326051</v>
      </c>
      <c r="AJ13" s="32">
        <f t="shared" si="19"/>
        <v>0.892414432060323</v>
      </c>
      <c r="AK13" s="32">
        <f t="shared" si="19"/>
        <v>0.845490899818833</v>
      </c>
      <c r="AL13" s="32">
        <f t="shared" si="19"/>
        <v>0.808915091277449</v>
      </c>
      <c r="AM13" s="32">
        <f t="shared" si="19"/>
        <v>0.778369597580459</v>
      </c>
      <c r="AN13" s="32">
        <f t="shared" si="19"/>
        <v>0.75</v>
      </c>
    </row>
    <row r="14" spans="1:23">
      <c r="A14" s="9" t="s">
        <v>3</v>
      </c>
      <c r="B14" s="2">
        <v>0</v>
      </c>
      <c r="G14" s="6">
        <f t="shared" si="0"/>
        <v>0.2</v>
      </c>
      <c r="H14" s="3"/>
      <c r="I14" s="3"/>
      <c r="J14" s="3"/>
      <c r="K14" s="3"/>
      <c r="L14" s="3"/>
      <c r="M14" s="3"/>
      <c r="N14" s="3"/>
      <c r="O14" s="3"/>
      <c r="P14" s="13">
        <v>0</v>
      </c>
      <c r="Q14" s="14">
        <f t="shared" si="12"/>
        <v>0.436646478238226</v>
      </c>
      <c r="R14" s="14">
        <f t="shared" si="12"/>
        <v>0.656004780286848</v>
      </c>
      <c r="S14" s="14">
        <f t="shared" si="12"/>
        <v>0.786152911795409</v>
      </c>
      <c r="T14" s="14">
        <f t="shared" si="12"/>
        <v>0.874265197117372</v>
      </c>
      <c r="U14" s="14">
        <f t="shared" si="12"/>
        <v>0.941552765211892</v>
      </c>
      <c r="V14" s="13">
        <f t="shared" si="4"/>
        <v>1</v>
      </c>
      <c r="W14" s="23">
        <v>2</v>
      </c>
    </row>
    <row r="15" spans="7:23">
      <c r="G15" s="6">
        <v>0</v>
      </c>
      <c r="H15" s="3"/>
      <c r="I15" s="3"/>
      <c r="J15" s="3"/>
      <c r="K15" s="3"/>
      <c r="L15" s="3"/>
      <c r="M15" s="3"/>
      <c r="N15" s="3"/>
      <c r="O15" s="3"/>
      <c r="P15" s="3"/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3">
        <v>1</v>
      </c>
    </row>
    <row r="16" spans="7:23">
      <c r="G16" s="3"/>
      <c r="H16" s="6">
        <v>0</v>
      </c>
      <c r="I16" s="6">
        <f>H16+$B$2</f>
        <v>0.2</v>
      </c>
      <c r="J16" s="6">
        <f t="shared" ref="J16:V16" si="20">I16+$B$2</f>
        <v>0.4</v>
      </c>
      <c r="K16" s="6">
        <f t="shared" si="20"/>
        <v>0.6</v>
      </c>
      <c r="L16" s="6">
        <f t="shared" si="20"/>
        <v>0.8</v>
      </c>
      <c r="M16" s="6">
        <f t="shared" si="20"/>
        <v>1</v>
      </c>
      <c r="N16" s="6">
        <f t="shared" si="20"/>
        <v>1.2</v>
      </c>
      <c r="O16" s="6">
        <f t="shared" si="20"/>
        <v>1.4</v>
      </c>
      <c r="P16" s="6">
        <f t="shared" si="20"/>
        <v>1.6</v>
      </c>
      <c r="Q16" s="6">
        <f t="shared" si="20"/>
        <v>1.8</v>
      </c>
      <c r="R16" s="6">
        <f t="shared" si="20"/>
        <v>2</v>
      </c>
      <c r="S16" s="6">
        <f t="shared" si="20"/>
        <v>2.2</v>
      </c>
      <c r="T16" s="6">
        <f t="shared" si="20"/>
        <v>2.4</v>
      </c>
      <c r="U16" s="6">
        <f t="shared" si="20"/>
        <v>2.6</v>
      </c>
      <c r="V16" s="6">
        <f t="shared" si="20"/>
        <v>2.8</v>
      </c>
      <c r="W16" s="22"/>
    </row>
    <row r="17" spans="7:22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7:40">
      <c r="G18" s="3"/>
      <c r="H18" s="4">
        <v>1</v>
      </c>
      <c r="I18" s="4">
        <v>2</v>
      </c>
      <c r="J18" s="4">
        <v>3</v>
      </c>
      <c r="K18" s="4">
        <v>4</v>
      </c>
      <c r="L18" s="4">
        <v>5</v>
      </c>
      <c r="M18" s="4">
        <v>6</v>
      </c>
      <c r="N18" s="4">
        <v>7</v>
      </c>
      <c r="O18" s="4">
        <v>8</v>
      </c>
      <c r="P18" s="4">
        <v>9</v>
      </c>
      <c r="Q18" s="4">
        <v>10</v>
      </c>
      <c r="R18" s="4">
        <v>11</v>
      </c>
      <c r="S18" s="4">
        <v>12</v>
      </c>
      <c r="T18" s="4">
        <v>13</v>
      </c>
      <c r="U18" s="4">
        <v>14</v>
      </c>
      <c r="V18" s="4">
        <v>15</v>
      </c>
      <c r="W18" s="25"/>
      <c r="Y18" s="30">
        <v>0</v>
      </c>
      <c r="Z18" s="30">
        <v>1</v>
      </c>
      <c r="AA18" s="30">
        <v>2</v>
      </c>
      <c r="AB18" s="30">
        <v>3</v>
      </c>
      <c r="AC18" s="30">
        <v>4</v>
      </c>
      <c r="AD18" s="30">
        <v>5</v>
      </c>
      <c r="AE18" s="30">
        <v>6</v>
      </c>
      <c r="AF18" s="30">
        <v>7</v>
      </c>
      <c r="AG18" s="30">
        <v>8</v>
      </c>
      <c r="AH18" s="30">
        <v>9</v>
      </c>
      <c r="AI18" s="30">
        <v>10</v>
      </c>
      <c r="AJ18" s="30">
        <v>11</v>
      </c>
      <c r="AK18" s="30">
        <v>12</v>
      </c>
      <c r="AL18" s="30">
        <v>13</v>
      </c>
      <c r="AM18" s="30">
        <v>14</v>
      </c>
      <c r="AN18" s="30">
        <v>15</v>
      </c>
    </row>
    <row r="19" spans="7:40">
      <c r="G19" s="6">
        <f t="shared" ref="G19:G28" si="21">G20+B$2</f>
        <v>2</v>
      </c>
      <c r="H19" s="10">
        <v>10</v>
      </c>
      <c r="I19" s="15">
        <v>10</v>
      </c>
      <c r="J19" s="15">
        <v>10</v>
      </c>
      <c r="K19" s="15">
        <v>10</v>
      </c>
      <c r="L19" s="15">
        <v>10</v>
      </c>
      <c r="M19" s="15">
        <v>10</v>
      </c>
      <c r="N19" s="15">
        <v>10</v>
      </c>
      <c r="O19" s="15">
        <v>10</v>
      </c>
      <c r="P19" s="15">
        <v>10</v>
      </c>
      <c r="Q19" s="15">
        <v>10</v>
      </c>
      <c r="R19" s="15">
        <v>10</v>
      </c>
      <c r="S19" s="15">
        <v>10</v>
      </c>
      <c r="T19" s="15">
        <v>10</v>
      </c>
      <c r="U19" s="15">
        <v>10</v>
      </c>
      <c r="V19" s="15">
        <v>10</v>
      </c>
      <c r="W19" s="25"/>
      <c r="Y19" s="31" t="s">
        <v>3</v>
      </c>
      <c r="Z19" s="32">
        <f>H5</f>
        <v>10</v>
      </c>
      <c r="AA19" s="32">
        <f t="shared" ref="AA19:AN19" si="22">I5</f>
        <v>10</v>
      </c>
      <c r="AB19" s="32">
        <f t="shared" si="22"/>
        <v>10</v>
      </c>
      <c r="AC19" s="32">
        <f t="shared" si="22"/>
        <v>10</v>
      </c>
      <c r="AD19" s="32">
        <f t="shared" si="22"/>
        <v>10</v>
      </c>
      <c r="AE19" s="32">
        <f t="shared" si="22"/>
        <v>10</v>
      </c>
      <c r="AF19" s="32">
        <f t="shared" si="22"/>
        <v>10</v>
      </c>
      <c r="AG19" s="32">
        <f t="shared" si="22"/>
        <v>10</v>
      </c>
      <c r="AH19" s="32">
        <f t="shared" si="22"/>
        <v>10</v>
      </c>
      <c r="AI19" s="32">
        <f t="shared" si="22"/>
        <v>10</v>
      </c>
      <c r="AJ19" s="32">
        <f t="shared" si="22"/>
        <v>10</v>
      </c>
      <c r="AK19" s="32">
        <f t="shared" si="22"/>
        <v>10</v>
      </c>
      <c r="AL19" s="32">
        <f t="shared" si="22"/>
        <v>10</v>
      </c>
      <c r="AM19" s="32">
        <f t="shared" si="22"/>
        <v>10</v>
      </c>
      <c r="AN19" s="32">
        <f t="shared" si="22"/>
        <v>10</v>
      </c>
    </row>
    <row r="20" spans="7:40">
      <c r="G20" s="6">
        <f t="shared" si="21"/>
        <v>1.8</v>
      </c>
      <c r="H20" s="10">
        <v>8</v>
      </c>
      <c r="I20" s="6">
        <v>8.02834465361189</v>
      </c>
      <c r="J20" s="6">
        <v>8.06486817067522</v>
      </c>
      <c r="K20" s="6">
        <v>8.11807302845959</v>
      </c>
      <c r="L20" s="6">
        <v>8.19521721038987</v>
      </c>
      <c r="M20" s="6">
        <v>8.29688699435999</v>
      </c>
      <c r="N20" s="6">
        <v>8.41029075408085</v>
      </c>
      <c r="O20" s="6">
        <v>8.52214915156036</v>
      </c>
      <c r="P20" s="6">
        <v>8.62419020456225</v>
      </c>
      <c r="Q20" s="6">
        <v>8.71300646326521</v>
      </c>
      <c r="R20" s="6">
        <v>8.78842888937202</v>
      </c>
      <c r="S20" s="6">
        <v>8.85210855761064</v>
      </c>
      <c r="T20" s="6">
        <v>8.90660382422242</v>
      </c>
      <c r="U20" s="6">
        <v>8.95486882217836</v>
      </c>
      <c r="V20" s="15">
        <v>9</v>
      </c>
      <c r="W20" s="25"/>
      <c r="Y20" s="33" t="s">
        <v>5</v>
      </c>
      <c r="Z20" s="32">
        <f>H30</f>
        <v>0</v>
      </c>
      <c r="AA20" s="32">
        <f t="shared" ref="AA20:AN20" si="23">I30</f>
        <v>0.2</v>
      </c>
      <c r="AB20" s="32">
        <f t="shared" si="23"/>
        <v>0.4</v>
      </c>
      <c r="AC20" s="32">
        <f t="shared" si="23"/>
        <v>0.6</v>
      </c>
      <c r="AD20" s="32">
        <f t="shared" si="23"/>
        <v>0.8</v>
      </c>
      <c r="AE20" s="32">
        <f t="shared" si="23"/>
        <v>1</v>
      </c>
      <c r="AF20" s="32">
        <f t="shared" si="23"/>
        <v>1.2</v>
      </c>
      <c r="AG20" s="32">
        <f t="shared" si="23"/>
        <v>1.4</v>
      </c>
      <c r="AH20" s="32">
        <f t="shared" si="23"/>
        <v>1.6</v>
      </c>
      <c r="AI20" s="32">
        <f t="shared" si="23"/>
        <v>1.8</v>
      </c>
      <c r="AJ20" s="32">
        <f t="shared" si="23"/>
        <v>2</v>
      </c>
      <c r="AK20" s="32">
        <f t="shared" si="23"/>
        <v>2.2</v>
      </c>
      <c r="AL20" s="32">
        <f t="shared" si="23"/>
        <v>2.4</v>
      </c>
      <c r="AM20" s="32">
        <f t="shared" si="23"/>
        <v>2.6</v>
      </c>
      <c r="AN20" s="32">
        <f t="shared" si="23"/>
        <v>2.8</v>
      </c>
    </row>
    <row r="21" spans="7:40">
      <c r="G21" s="6">
        <f t="shared" si="21"/>
        <v>1.6</v>
      </c>
      <c r="H21" s="10">
        <v>6</v>
      </c>
      <c r="I21" s="6">
        <v>6.04851044377234</v>
      </c>
      <c r="J21" s="6">
        <v>6.11305500062938</v>
      </c>
      <c r="K21" s="6">
        <v>6.21220673277329</v>
      </c>
      <c r="L21" s="6">
        <v>6.3659088187399</v>
      </c>
      <c r="M21" s="6">
        <v>6.58204001296922</v>
      </c>
      <c r="N21" s="6">
        <v>6.82212687040305</v>
      </c>
      <c r="O21" s="6">
        <v>7.05411564759835</v>
      </c>
      <c r="P21" s="6">
        <v>7.26160520342343</v>
      </c>
      <c r="Q21" s="6">
        <v>7.43940675912657</v>
      </c>
      <c r="R21" s="6">
        <v>7.58860053661225</v>
      </c>
      <c r="S21" s="6">
        <v>7.71340151684811</v>
      </c>
      <c r="T21" s="6">
        <v>7.81943791710069</v>
      </c>
      <c r="U21" s="6">
        <v>7.91287146449103</v>
      </c>
      <c r="V21" s="15">
        <v>8</v>
      </c>
      <c r="W21" s="25"/>
      <c r="Y21" s="33" t="s">
        <v>7</v>
      </c>
      <c r="Z21" s="32">
        <f>$G$19</f>
        <v>2</v>
      </c>
      <c r="AA21" s="32">
        <f t="shared" ref="AA21:AN21" si="24">$G$19</f>
        <v>2</v>
      </c>
      <c r="AB21" s="32">
        <f t="shared" si="24"/>
        <v>2</v>
      </c>
      <c r="AC21" s="32">
        <f t="shared" si="24"/>
        <v>2</v>
      </c>
      <c r="AD21" s="32">
        <f t="shared" si="24"/>
        <v>2</v>
      </c>
      <c r="AE21" s="32">
        <f t="shared" si="24"/>
        <v>2</v>
      </c>
      <c r="AF21" s="32">
        <f t="shared" si="24"/>
        <v>2</v>
      </c>
      <c r="AG21" s="32">
        <f t="shared" si="24"/>
        <v>2</v>
      </c>
      <c r="AH21" s="32">
        <f t="shared" si="24"/>
        <v>2</v>
      </c>
      <c r="AI21" s="32">
        <f t="shared" si="24"/>
        <v>2</v>
      </c>
      <c r="AJ21" s="32">
        <f t="shared" si="24"/>
        <v>2</v>
      </c>
      <c r="AK21" s="32">
        <f t="shared" si="24"/>
        <v>2</v>
      </c>
      <c r="AL21" s="32">
        <f t="shared" si="24"/>
        <v>2</v>
      </c>
      <c r="AM21" s="32">
        <f t="shared" si="24"/>
        <v>2</v>
      </c>
      <c r="AN21" s="32">
        <f t="shared" si="24"/>
        <v>2</v>
      </c>
    </row>
    <row r="22" spans="7:40">
      <c r="G22" s="6">
        <f t="shared" si="21"/>
        <v>1.4</v>
      </c>
      <c r="H22" s="10">
        <v>4</v>
      </c>
      <c r="I22" s="6">
        <v>4.05264212084807</v>
      </c>
      <c r="J22" s="6">
        <v>4.12663465529668</v>
      </c>
      <c r="K22" s="6">
        <v>4.2517900832643</v>
      </c>
      <c r="L22" s="6">
        <v>4.47417131882722</v>
      </c>
      <c r="M22" s="6">
        <v>4.84323736837396</v>
      </c>
      <c r="N22" s="6">
        <v>5.24206106696378</v>
      </c>
      <c r="O22" s="6">
        <v>5.61058136500655</v>
      </c>
      <c r="P22" s="6">
        <v>5.92870820240655</v>
      </c>
      <c r="Q22" s="6">
        <v>6.1944148332054</v>
      </c>
      <c r="R22" s="6">
        <v>6.41316498110228</v>
      </c>
      <c r="S22" s="6">
        <v>6.59345905606888</v>
      </c>
      <c r="T22" s="6">
        <v>6.74487486284119</v>
      </c>
      <c r="U22" s="6">
        <v>6.87717911868507</v>
      </c>
      <c r="V22" s="15">
        <v>7</v>
      </c>
      <c r="W22" s="25"/>
      <c r="Y22" s="33" t="s">
        <v>8</v>
      </c>
      <c r="Z22" s="32">
        <f>H34</f>
        <v>10</v>
      </c>
      <c r="AA22" s="32">
        <f t="shared" ref="AA22:AN22" si="25">I34</f>
        <v>9.87872389056916</v>
      </c>
      <c r="AB22" s="32">
        <f t="shared" si="25"/>
        <v>9.71736249842654</v>
      </c>
      <c r="AC22" s="32">
        <f t="shared" si="25"/>
        <v>9.46948316806677</v>
      </c>
      <c r="AD22" s="32">
        <f t="shared" si="25"/>
        <v>9.08522795315025</v>
      </c>
      <c r="AE22" s="32">
        <f t="shared" si="25"/>
        <v>8.54489996757694</v>
      </c>
      <c r="AF22" s="32">
        <f t="shared" si="25"/>
        <v>7.94468282399238</v>
      </c>
      <c r="AG22" s="32">
        <f t="shared" si="25"/>
        <v>7.36471088100413</v>
      </c>
      <c r="AH22" s="32">
        <f t="shared" si="25"/>
        <v>6.84598699144142</v>
      </c>
      <c r="AI22" s="32">
        <f t="shared" si="25"/>
        <v>6.40148310218357</v>
      </c>
      <c r="AJ22" s="32">
        <f t="shared" si="25"/>
        <v>6.02849865846938</v>
      </c>
      <c r="AK22" s="32">
        <f t="shared" si="25"/>
        <v>5.71649620787971</v>
      </c>
      <c r="AL22" s="32">
        <f t="shared" si="25"/>
        <v>5.45140520724828</v>
      </c>
      <c r="AM22" s="32">
        <f t="shared" si="25"/>
        <v>5.21782133877242</v>
      </c>
      <c r="AN22" s="32">
        <f t="shared" si="25"/>
        <v>5</v>
      </c>
    </row>
    <row r="23" spans="7:40">
      <c r="G23" s="6">
        <f t="shared" si="21"/>
        <v>1.2</v>
      </c>
      <c r="H23" s="10">
        <v>2</v>
      </c>
      <c r="I23" s="6">
        <v>2.03542338432326</v>
      </c>
      <c r="J23" s="6">
        <v>2.08905141644499</v>
      </c>
      <c r="K23" s="6">
        <v>2.19414762616</v>
      </c>
      <c r="L23" s="6">
        <v>2.43574900493071</v>
      </c>
      <c r="M23" s="6">
        <v>3.07467707473562</v>
      </c>
      <c r="N23" s="6">
        <v>3.69229866407156</v>
      </c>
      <c r="O23" s="6">
        <v>4.21744054305751</v>
      </c>
      <c r="P23" s="6">
        <v>4.64823140799083</v>
      </c>
      <c r="Q23" s="6">
        <v>4.99637939018621</v>
      </c>
      <c r="R23" s="6">
        <v>5.2761854985226</v>
      </c>
      <c r="S23" s="6">
        <v>5.50239486348394</v>
      </c>
      <c r="T23" s="6">
        <v>5.68942335951012</v>
      </c>
      <c r="U23" s="6">
        <v>5.85097014740806</v>
      </c>
      <c r="V23" s="15">
        <v>6</v>
      </c>
      <c r="W23" s="25"/>
      <c r="Y23" s="33" t="s">
        <v>10</v>
      </c>
      <c r="Z23" s="32">
        <f>H47</f>
        <v>0</v>
      </c>
      <c r="AA23" s="32">
        <f t="shared" ref="AA23:AN23" si="26">I47</f>
        <v>0</v>
      </c>
      <c r="AB23" s="32">
        <f t="shared" si="26"/>
        <v>0</v>
      </c>
      <c r="AC23" s="32">
        <f t="shared" si="26"/>
        <v>0</v>
      </c>
      <c r="AD23" s="32">
        <f t="shared" si="26"/>
        <v>0</v>
      </c>
      <c r="AE23" s="32">
        <f t="shared" si="26"/>
        <v>0</v>
      </c>
      <c r="AF23" s="32">
        <f t="shared" si="26"/>
        <v>0</v>
      </c>
      <c r="AG23" s="32">
        <f t="shared" si="26"/>
        <v>0</v>
      </c>
      <c r="AH23" s="32">
        <f t="shared" si="26"/>
        <v>0</v>
      </c>
      <c r="AI23" s="32">
        <f t="shared" si="26"/>
        <v>0</v>
      </c>
      <c r="AJ23" s="32">
        <f t="shared" si="26"/>
        <v>0</v>
      </c>
      <c r="AK23" s="32">
        <f t="shared" si="26"/>
        <v>0</v>
      </c>
      <c r="AL23" s="32">
        <f t="shared" si="26"/>
        <v>0</v>
      </c>
      <c r="AM23" s="32">
        <f t="shared" si="26"/>
        <v>0</v>
      </c>
      <c r="AN23" s="32">
        <f t="shared" si="26"/>
        <v>0</v>
      </c>
    </row>
    <row r="24" spans="7:40">
      <c r="G24" s="6">
        <f t="shared" si="21"/>
        <v>1</v>
      </c>
      <c r="H24" s="10">
        <v>0</v>
      </c>
      <c r="I24" s="15">
        <v>0</v>
      </c>
      <c r="J24" s="15">
        <v>0</v>
      </c>
      <c r="K24" s="15">
        <v>0</v>
      </c>
      <c r="L24" s="15">
        <v>0</v>
      </c>
      <c r="M24" s="6">
        <v>1.32742326156624</v>
      </c>
      <c r="N24" s="6">
        <v>2.23501597152935</v>
      </c>
      <c r="O24" s="6">
        <v>2.91865073516111</v>
      </c>
      <c r="P24" s="6">
        <v>3.45039749631305</v>
      </c>
      <c r="Q24" s="6">
        <v>3.866685821026</v>
      </c>
      <c r="R24" s="6">
        <v>4.19280275931799</v>
      </c>
      <c r="S24" s="6">
        <v>4.45051153983415</v>
      </c>
      <c r="T24" s="6">
        <v>4.65945356430729</v>
      </c>
      <c r="U24" s="6">
        <v>4.83727811143706</v>
      </c>
      <c r="V24" s="15">
        <v>5</v>
      </c>
      <c r="W24" s="25"/>
      <c r="Y24" s="33" t="s">
        <v>12</v>
      </c>
      <c r="Z24" s="32">
        <f>((Z22)^2+(Z23)^2)^0.5</f>
        <v>10</v>
      </c>
      <c r="AA24" s="32">
        <f t="shared" ref="AA24" si="27">((AA22)^2+(AA23)^2)^0.5</f>
        <v>9.87872389056916</v>
      </c>
      <c r="AB24" s="32">
        <f t="shared" ref="AB24" si="28">((AB22)^2+(AB23)^2)^0.5</f>
        <v>9.71736249842654</v>
      </c>
      <c r="AC24" s="32">
        <f t="shared" ref="AC24" si="29">((AC22)^2+(AC23)^2)^0.5</f>
        <v>9.46948316806677</v>
      </c>
      <c r="AD24" s="32">
        <f t="shared" ref="AD24" si="30">((AD22)^2+(AD23)^2)^0.5</f>
        <v>9.08522795315025</v>
      </c>
      <c r="AE24" s="32">
        <f t="shared" ref="AE24" si="31">((AE22)^2+(AE23)^2)^0.5</f>
        <v>8.54489996757694</v>
      </c>
      <c r="AF24" s="32">
        <f t="shared" ref="AF24" si="32">((AF22)^2+(AF23)^2)^0.5</f>
        <v>7.94468282399238</v>
      </c>
      <c r="AG24" s="32">
        <f t="shared" ref="AG24" si="33">((AG22)^2+(AG23)^2)^0.5</f>
        <v>7.36471088100413</v>
      </c>
      <c r="AH24" s="32">
        <f t="shared" ref="AH24" si="34">((AH22)^2+(AH23)^2)^0.5</f>
        <v>6.84598699144142</v>
      </c>
      <c r="AI24" s="32">
        <f t="shared" ref="AI24" si="35">((AI22)^2+(AI23)^2)^0.5</f>
        <v>6.40148310218357</v>
      </c>
      <c r="AJ24" s="32">
        <f t="shared" ref="AJ24" si="36">((AJ22)^2+(AJ23)^2)^0.5</f>
        <v>6.02849865846938</v>
      </c>
      <c r="AK24" s="32">
        <f t="shared" ref="AK24" si="37">((AK22)^2+(AK23)^2)^0.5</f>
        <v>5.71649620787971</v>
      </c>
      <c r="AL24" s="32">
        <f t="shared" ref="AL24" si="38">((AL22)^2+(AL23)^2)^0.5</f>
        <v>5.45140520724828</v>
      </c>
      <c r="AM24" s="32">
        <f t="shared" ref="AM24" si="39">((AM22)^2+(AM23)^2)^0.5</f>
        <v>5.21782133877242</v>
      </c>
      <c r="AN24" s="32">
        <f t="shared" ref="AN24" si="40">((AN22)^2+(AN23)^2)^0.5</f>
        <v>5</v>
      </c>
    </row>
    <row r="25" spans="7:40">
      <c r="G25" s="6">
        <f t="shared" si="21"/>
        <v>0.8</v>
      </c>
      <c r="H25" s="3"/>
      <c r="I25" s="3"/>
      <c r="J25" s="3"/>
      <c r="K25" s="3"/>
      <c r="L25" s="3"/>
      <c r="M25" s="15">
        <v>0</v>
      </c>
      <c r="N25" s="6">
        <v>1.00169122531847</v>
      </c>
      <c r="O25" s="6">
        <v>1.77174892974454</v>
      </c>
      <c r="P25" s="6">
        <v>2.36802202107426</v>
      </c>
      <c r="Q25" s="6">
        <v>2.82716363828675</v>
      </c>
      <c r="R25" s="6">
        <v>3.1778281778892</v>
      </c>
      <c r="S25" s="6">
        <v>3.44739497222737</v>
      </c>
      <c r="T25" s="6">
        <v>3.66060124644783</v>
      </c>
      <c r="U25" s="6">
        <v>3.8386887340329</v>
      </c>
      <c r="V25" s="15">
        <v>4</v>
      </c>
      <c r="W25" s="25"/>
      <c r="Y25" s="33" t="s">
        <v>14</v>
      </c>
      <c r="Z25" s="34">
        <f>B5</f>
        <v>101325</v>
      </c>
      <c r="AA25" s="34">
        <f>(Z25+(Z24^2)/2)-(AA24^2)/2</f>
        <v>101326.205407147</v>
      </c>
      <c r="AB25" s="34">
        <f t="shared" ref="AB25" si="41">(AA25+(AA24^2)/2)-(AB24^2)/2</f>
        <v>101327.786433037</v>
      </c>
      <c r="AC25" s="34">
        <f t="shared" ref="AC25" si="42">(AB25+(AB24^2)/2)-(AC24^2)/2</f>
        <v>101330.164444265</v>
      </c>
      <c r="AD25" s="34">
        <f t="shared" ref="AD25" si="43">(AC25+(AC24^2)/2)-(AD24^2)/2</f>
        <v>101333.72931652</v>
      </c>
      <c r="AE25" s="34">
        <f t="shared" ref="AE25" si="44">(AD25+(AD24^2)/2)-(AE24^2)/2</f>
        <v>101338.492342272</v>
      </c>
      <c r="AF25" s="34">
        <f t="shared" ref="AF25" si="45">(AE25+(AE24^2)/2)-(AF24^2)/2</f>
        <v>101343.441007413</v>
      </c>
      <c r="AG25" s="34">
        <f t="shared" ref="AG25" si="46">(AF25+(AF24^2)/2)-(AG24^2)/2</f>
        <v>101347.88051682</v>
      </c>
      <c r="AH25" s="34">
        <f t="shared" ref="AH25" si="47">(AG25+(AG24^2)/2)-(AH24^2)/2</f>
        <v>101351.566231057</v>
      </c>
      <c r="AI25" s="34">
        <f t="shared" ref="AI25" si="48">(AH25+(AH24^2)/2)-(AI24^2)/2</f>
        <v>101354.510507046</v>
      </c>
      <c r="AJ25" s="34">
        <f t="shared" ref="AJ25" si="49">(AI25+(AI24^2)/2)-(AJ24^2)/2</f>
        <v>101356.828601962</v>
      </c>
      <c r="AK25" s="34">
        <f t="shared" ref="AK25" si="50">(AJ25+(AJ24^2)/2)-(AK24^2)/2</f>
        <v>101358.660835553</v>
      </c>
      <c r="AL25" s="34">
        <f t="shared" ref="AL25" si="51">(AK25+(AK24^2)/2)-(AL24^2)/2</f>
        <v>101360.141090633</v>
      </c>
      <c r="AM25" s="34">
        <f t="shared" ref="AM25" si="52">(AL25+(AL24^2)/2)-(AM24^2)/2</f>
        <v>101361.387170238</v>
      </c>
      <c r="AN25" s="34">
        <f t="shared" ref="AN25" si="53">(AM25+(AM24^2)/2)-(AN24^2)/2</f>
        <v>101362.5</v>
      </c>
    </row>
    <row r="26" spans="7:40">
      <c r="G26" s="6">
        <f t="shared" si="21"/>
        <v>0.6</v>
      </c>
      <c r="H26" s="3"/>
      <c r="I26" s="3"/>
      <c r="J26" s="3"/>
      <c r="K26" s="3"/>
      <c r="L26" s="3"/>
      <c r="M26" s="3"/>
      <c r="N26" s="15">
        <v>0</v>
      </c>
      <c r="O26" s="6">
        <v>0.79863173742431</v>
      </c>
      <c r="P26" s="6">
        <v>1.4227780199527</v>
      </c>
      <c r="Q26" s="6">
        <v>1.89611853315755</v>
      </c>
      <c r="R26" s="6">
        <v>2.24395134172471</v>
      </c>
      <c r="S26" s="6">
        <v>2.50063892473831</v>
      </c>
      <c r="T26" s="6">
        <v>2.69686771522376</v>
      </c>
      <c r="U26" s="6">
        <v>2.85687557824672</v>
      </c>
      <c r="V26" s="15">
        <v>3</v>
      </c>
      <c r="W26" s="25"/>
      <c r="Y26" s="33" t="s">
        <v>16</v>
      </c>
      <c r="Z26" s="32">
        <f>(Z25-$B$5)/(($B$4^2)/2)</f>
        <v>0</v>
      </c>
      <c r="AA26" s="32">
        <f t="shared" ref="AA26" si="54">(AA25-$B$5)/(($B$4^2)/2)</f>
        <v>0.0241081429389305</v>
      </c>
      <c r="AB26" s="32">
        <f t="shared" ref="AB26" si="55">(AB25-$B$5)/(($B$4^2)/2)</f>
        <v>0.0557286607418791</v>
      </c>
      <c r="AC26" s="32">
        <f t="shared" ref="AC26" si="56">(AC25-$B$5)/(($B$4^2)/2)</f>
        <v>0.103288885297079</v>
      </c>
      <c r="AD26" s="32">
        <f t="shared" ref="AD26" si="57">(AD25-$B$5)/(($B$4^2)/2)</f>
        <v>0.174586330392922</v>
      </c>
      <c r="AE26" s="32">
        <f t="shared" ref="AE26" si="58">(AE25-$B$5)/(($B$4^2)/2)</f>
        <v>0.269846845440916</v>
      </c>
      <c r="AF26" s="32">
        <f t="shared" ref="AF26" si="59">(AF25-$B$5)/(($B$4^2)/2)</f>
        <v>0.36882014826173</v>
      </c>
      <c r="AG26" s="32">
        <f t="shared" ref="AG26" si="60">(AG25-$B$5)/(($B$4^2)/2)</f>
        <v>0.457610336392245</v>
      </c>
      <c r="AH26" s="32">
        <f t="shared" ref="AH26" si="61">(AH25-$B$5)/(($B$4^2)/2)</f>
        <v>0.531324621130188</v>
      </c>
      <c r="AI26" s="32">
        <f t="shared" ref="AI26" si="62">(AI25-$B$5)/(($B$4^2)/2)</f>
        <v>0.59021014092461</v>
      </c>
      <c r="AJ26" s="32">
        <f t="shared" ref="AJ26" si="63">(AJ25-$B$5)/(($B$4^2)/2)</f>
        <v>0.636572039248422</v>
      </c>
      <c r="AK26" s="32">
        <f t="shared" ref="AK26" si="64">(AK25-$B$5)/(($B$4^2)/2)</f>
        <v>0.673216711053101</v>
      </c>
      <c r="AL26" s="32">
        <f t="shared" ref="AL26" si="65">(AL25-$B$5)/(($B$4^2)/2)</f>
        <v>0.702821812663751</v>
      </c>
      <c r="AM26" s="32">
        <f t="shared" ref="AM26" si="66">(AM25-$B$5)/(($B$4^2)/2)</f>
        <v>0.72774340476637</v>
      </c>
      <c r="AN26" s="32">
        <f t="shared" ref="AN26" si="67">(AN25-$B$5)/(($B$4^2)/2)</f>
        <v>0.75</v>
      </c>
    </row>
    <row r="27" spans="7:23">
      <c r="G27" s="6">
        <f t="shared" si="21"/>
        <v>0.4</v>
      </c>
      <c r="H27" s="3"/>
      <c r="I27" s="3"/>
      <c r="J27" s="3"/>
      <c r="K27" s="3"/>
      <c r="L27" s="3"/>
      <c r="M27" s="3"/>
      <c r="N27" s="3"/>
      <c r="O27" s="15">
        <v>0</v>
      </c>
      <c r="P27" s="6">
        <v>0.62833978815469</v>
      </c>
      <c r="Q27" s="6">
        <v>1.09058113266606</v>
      </c>
      <c r="R27" s="6">
        <v>1.40121973111376</v>
      </c>
      <c r="S27" s="6">
        <v>1.61434166977742</v>
      </c>
      <c r="T27" s="6">
        <v>1.76935511146219</v>
      </c>
      <c r="U27" s="6">
        <v>1.8919458637302</v>
      </c>
      <c r="V27" s="15">
        <v>2</v>
      </c>
      <c r="W27" s="25"/>
    </row>
    <row r="28" spans="7:23">
      <c r="G28" s="6">
        <f t="shared" si="21"/>
        <v>0.2</v>
      </c>
      <c r="H28" s="3"/>
      <c r="I28" s="3"/>
      <c r="J28" s="3"/>
      <c r="K28" s="3"/>
      <c r="L28" s="3"/>
      <c r="M28" s="3"/>
      <c r="N28" s="3"/>
      <c r="O28" s="3"/>
      <c r="P28" s="15">
        <v>0</v>
      </c>
      <c r="Q28" s="6">
        <v>0.436646478238226</v>
      </c>
      <c r="R28" s="6">
        <v>0.656004780286848</v>
      </c>
      <c r="S28" s="6">
        <v>0.786152911795409</v>
      </c>
      <c r="T28" s="6">
        <v>0.874265197117372</v>
      </c>
      <c r="U28" s="6">
        <v>0.941552765211892</v>
      </c>
      <c r="V28" s="15">
        <v>1</v>
      </c>
      <c r="W28" s="25"/>
    </row>
    <row r="29" spans="7:23">
      <c r="G29" s="6">
        <v>0</v>
      </c>
      <c r="H29" s="3"/>
      <c r="I29" s="3"/>
      <c r="J29" s="3"/>
      <c r="K29" s="3"/>
      <c r="L29" s="3"/>
      <c r="M29" s="3"/>
      <c r="N29" s="3"/>
      <c r="O29" s="3"/>
      <c r="P29" s="3"/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15">
        <v>0</v>
      </c>
      <c r="W29" s="25"/>
    </row>
    <row r="30" spans="7:23">
      <c r="G30" s="3"/>
      <c r="H30" s="6">
        <v>0</v>
      </c>
      <c r="I30" s="6">
        <f>H30+$B$2</f>
        <v>0.2</v>
      </c>
      <c r="J30" s="6">
        <f t="shared" ref="J30:V30" si="68">I30+$B$2</f>
        <v>0.4</v>
      </c>
      <c r="K30" s="6">
        <f t="shared" si="68"/>
        <v>0.6</v>
      </c>
      <c r="L30" s="6">
        <f t="shared" si="68"/>
        <v>0.8</v>
      </c>
      <c r="M30" s="6">
        <f t="shared" si="68"/>
        <v>1</v>
      </c>
      <c r="N30" s="6">
        <f t="shared" si="68"/>
        <v>1.2</v>
      </c>
      <c r="O30" s="6">
        <f t="shared" si="68"/>
        <v>1.4</v>
      </c>
      <c r="P30" s="6">
        <f t="shared" si="68"/>
        <v>1.6</v>
      </c>
      <c r="Q30" s="6">
        <f t="shared" si="68"/>
        <v>1.8</v>
      </c>
      <c r="R30" s="6">
        <f t="shared" si="68"/>
        <v>2</v>
      </c>
      <c r="S30" s="6">
        <f t="shared" si="68"/>
        <v>2.2</v>
      </c>
      <c r="T30" s="6">
        <f t="shared" si="68"/>
        <v>2.4</v>
      </c>
      <c r="U30" s="6">
        <f t="shared" si="68"/>
        <v>2.6</v>
      </c>
      <c r="V30" s="6">
        <f t="shared" si="68"/>
        <v>2.8</v>
      </c>
      <c r="W30" s="25"/>
    </row>
    <row r="31" spans="7:23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27"/>
    </row>
    <row r="32" spans="7:23">
      <c r="G32" s="3"/>
      <c r="H32" s="4">
        <v>1</v>
      </c>
      <c r="I32" s="4">
        <v>2</v>
      </c>
      <c r="J32" s="4">
        <v>3</v>
      </c>
      <c r="K32" s="4">
        <v>4</v>
      </c>
      <c r="L32" s="4">
        <v>5</v>
      </c>
      <c r="M32" s="4">
        <v>6</v>
      </c>
      <c r="N32" s="4">
        <v>7</v>
      </c>
      <c r="O32" s="4">
        <v>8</v>
      </c>
      <c r="P32" s="4">
        <v>9</v>
      </c>
      <c r="Q32" s="4">
        <v>10</v>
      </c>
      <c r="R32" s="4">
        <v>11</v>
      </c>
      <c r="S32" s="4">
        <v>12</v>
      </c>
      <c r="T32" s="4">
        <v>13</v>
      </c>
      <c r="U32" s="4">
        <v>14</v>
      </c>
      <c r="V32" s="4">
        <v>15</v>
      </c>
      <c r="W32" s="25"/>
    </row>
    <row r="33" spans="6:23">
      <c r="F33" s="11" t="s">
        <v>8</v>
      </c>
      <c r="G33" s="6">
        <f t="shared" ref="G33:G42" si="69">G34+B$2</f>
        <v>2</v>
      </c>
      <c r="H33" s="10">
        <f>(H5-H6)/$B$2</f>
        <v>10</v>
      </c>
      <c r="I33" s="10">
        <f t="shared" ref="I33:V33" si="70">(I5-I6)/$B$2</f>
        <v>9.85827673194056</v>
      </c>
      <c r="J33" s="10">
        <f t="shared" si="70"/>
        <v>9.67565914662392</v>
      </c>
      <c r="K33" s="10">
        <f t="shared" si="70"/>
        <v>9.40963485770203</v>
      </c>
      <c r="L33" s="10">
        <f t="shared" si="70"/>
        <v>9.02391394805065</v>
      </c>
      <c r="M33" s="10">
        <f t="shared" si="70"/>
        <v>8.51556502820007</v>
      </c>
      <c r="N33" s="10">
        <f t="shared" si="70"/>
        <v>7.94854622959575</v>
      </c>
      <c r="O33" s="10">
        <f t="shared" si="70"/>
        <v>7.38925424219819</v>
      </c>
      <c r="P33" s="10">
        <f t="shared" si="70"/>
        <v>6.87904897718874</v>
      </c>
      <c r="Q33" s="10">
        <f t="shared" si="70"/>
        <v>6.43496768367394</v>
      </c>
      <c r="R33" s="10">
        <f t="shared" si="70"/>
        <v>6.05785555313988</v>
      </c>
      <c r="S33" s="10">
        <f t="shared" si="70"/>
        <v>5.73945721194679</v>
      </c>
      <c r="T33" s="10">
        <f t="shared" si="70"/>
        <v>5.46698087888789</v>
      </c>
      <c r="U33" s="10">
        <f t="shared" si="70"/>
        <v>5.22565588910819</v>
      </c>
      <c r="V33" s="15">
        <f t="shared" si="70"/>
        <v>5</v>
      </c>
      <c r="W33" s="25"/>
    </row>
    <row r="34" spans="7:23">
      <c r="G34" s="6">
        <f t="shared" si="69"/>
        <v>1.8</v>
      </c>
      <c r="H34" s="12">
        <f>(H5-H7)/(2*$B$2)</f>
        <v>10</v>
      </c>
      <c r="I34" s="6">
        <f>(I5-I7)/(2*$B$2)</f>
        <v>9.87872389056916</v>
      </c>
      <c r="J34" s="6">
        <f t="shared" ref="J34:V34" si="71">(J5-J7)/(2*$B$2)</f>
        <v>9.71736249842654</v>
      </c>
      <c r="K34" s="6">
        <f t="shared" si="71"/>
        <v>9.46948316806677</v>
      </c>
      <c r="L34" s="6">
        <f t="shared" si="71"/>
        <v>9.08522795315025</v>
      </c>
      <c r="M34" s="6">
        <f t="shared" ref="M34" si="72">(M5-M7)/(2*$B$2)</f>
        <v>8.54489996757694</v>
      </c>
      <c r="N34" s="6">
        <f t="shared" si="71"/>
        <v>7.94468282399238</v>
      </c>
      <c r="O34" s="6">
        <f t="shared" si="71"/>
        <v>7.36471088100413</v>
      </c>
      <c r="P34" s="6">
        <f t="shared" si="71"/>
        <v>6.84598699144142</v>
      </c>
      <c r="Q34" s="6">
        <f t="shared" si="71"/>
        <v>6.40148310218357</v>
      </c>
      <c r="R34" s="6">
        <f t="shared" si="71"/>
        <v>6.02849865846938</v>
      </c>
      <c r="S34" s="6">
        <f t="shared" si="71"/>
        <v>5.71649620787971</v>
      </c>
      <c r="T34" s="6">
        <f t="shared" si="71"/>
        <v>5.45140520724828</v>
      </c>
      <c r="U34" s="6">
        <f t="shared" si="71"/>
        <v>5.21782133877242</v>
      </c>
      <c r="V34" s="28">
        <f t="shared" si="71"/>
        <v>5</v>
      </c>
      <c r="W34" s="25"/>
    </row>
    <row r="35" spans="7:23">
      <c r="G35" s="6">
        <f t="shared" si="69"/>
        <v>1.6</v>
      </c>
      <c r="H35" s="12">
        <f t="shared" ref="H35:H37" si="73">(H6-H8)/(2*$B$2)</f>
        <v>10</v>
      </c>
      <c r="I35" s="6">
        <f t="shared" ref="I35:V35" si="74">(I6-I8)/(2*$B$2)</f>
        <v>9.93925633190954</v>
      </c>
      <c r="J35" s="6">
        <f t="shared" si="74"/>
        <v>9.84558378844633</v>
      </c>
      <c r="K35" s="6">
        <f t="shared" si="74"/>
        <v>9.66570736298824</v>
      </c>
      <c r="L35" s="6">
        <f t="shared" si="74"/>
        <v>9.30261472890663</v>
      </c>
      <c r="M35" s="6">
        <f t="shared" ref="M35:N35" si="75">(M6-M8)/(2*$B$2)</f>
        <v>8.63412406496506</v>
      </c>
      <c r="N35" s="6">
        <f t="shared" si="75"/>
        <v>7.92057421779267</v>
      </c>
      <c r="O35" s="6">
        <f t="shared" si="74"/>
        <v>7.27891946638453</v>
      </c>
      <c r="P35" s="6">
        <f t="shared" si="74"/>
        <v>6.73870500538925</v>
      </c>
      <c r="Q35" s="6">
        <f t="shared" si="74"/>
        <v>6.29647907514952</v>
      </c>
      <c r="R35" s="6">
        <f t="shared" si="74"/>
        <v>5.93815977067435</v>
      </c>
      <c r="S35" s="6">
        <f t="shared" si="74"/>
        <v>5.6466237538544</v>
      </c>
      <c r="T35" s="6">
        <f t="shared" si="74"/>
        <v>5.40432240345308</v>
      </c>
      <c r="U35" s="6">
        <f t="shared" si="74"/>
        <v>5.19422425873323</v>
      </c>
      <c r="V35" s="28">
        <f t="shared" si="74"/>
        <v>5</v>
      </c>
      <c r="W35" s="25"/>
    </row>
    <row r="36" spans="7:23">
      <c r="G36" s="6">
        <f t="shared" si="69"/>
        <v>1.4</v>
      </c>
      <c r="H36" s="12">
        <f t="shared" si="73"/>
        <v>10</v>
      </c>
      <c r="I36" s="6">
        <f t="shared" ref="I36:V36" si="76">(I7-I9)/(2*$B$2)</f>
        <v>10.0327176486227</v>
      </c>
      <c r="J36" s="6">
        <f t="shared" si="76"/>
        <v>10.060008960461</v>
      </c>
      <c r="K36" s="6">
        <f t="shared" si="76"/>
        <v>10.0451477665332</v>
      </c>
      <c r="L36" s="6">
        <f t="shared" si="76"/>
        <v>9.82539953452298</v>
      </c>
      <c r="M36" s="6">
        <f t="shared" si="76"/>
        <v>8.76840734558401</v>
      </c>
      <c r="N36" s="6">
        <f t="shared" ref="N36:O36" si="77">(N7-N9)/(2*$B$2)</f>
        <v>7.82457051582871</v>
      </c>
      <c r="O36" s="6">
        <f t="shared" si="77"/>
        <v>7.09168776135208</v>
      </c>
      <c r="P36" s="6">
        <f t="shared" si="76"/>
        <v>6.5334344885815</v>
      </c>
      <c r="Q36" s="6">
        <f t="shared" si="76"/>
        <v>6.10756842235091</v>
      </c>
      <c r="R36" s="6">
        <f t="shared" si="76"/>
        <v>5.78103759522411</v>
      </c>
      <c r="S36" s="6">
        <f t="shared" si="76"/>
        <v>5.52751663341044</v>
      </c>
      <c r="T36" s="6">
        <f t="shared" si="76"/>
        <v>5.32503639397643</v>
      </c>
      <c r="U36" s="6">
        <f t="shared" si="76"/>
        <v>5.15475329270742</v>
      </c>
      <c r="V36" s="28">
        <f t="shared" si="76"/>
        <v>5</v>
      </c>
      <c r="W36" s="25"/>
    </row>
    <row r="37" spans="7:23">
      <c r="G37" s="6">
        <f t="shared" si="69"/>
        <v>1.2</v>
      </c>
      <c r="H37" s="12">
        <f t="shared" si="73"/>
        <v>10</v>
      </c>
      <c r="I37" s="6">
        <f t="shared" ref="I37:V37" si="78">(I8-I10)/(2*$B$2)</f>
        <v>10.1316053021202</v>
      </c>
      <c r="J37" s="6">
        <f t="shared" si="78"/>
        <v>10.3165866382417</v>
      </c>
      <c r="K37" s="6">
        <f t="shared" si="78"/>
        <v>10.6294752081607</v>
      </c>
      <c r="L37" s="16">
        <f t="shared" si="78"/>
        <v>11.185428297068</v>
      </c>
      <c r="M37" s="6">
        <f t="shared" si="78"/>
        <v>8.7895352670193</v>
      </c>
      <c r="N37" s="6">
        <f t="shared" ref="N37:O37" si="79">(N8-N10)/(2*$B$2)</f>
        <v>7.51761273858608</v>
      </c>
      <c r="O37" s="6">
        <f t="shared" si="79"/>
        <v>6.72982657461359</v>
      </c>
      <c r="P37" s="6">
        <f t="shared" si="78"/>
        <v>6.19577676523376</v>
      </c>
      <c r="Q37" s="6">
        <f t="shared" ref="Q37:T42" si="80">(Q8-Q10)/(2*$B$2)</f>
        <v>5.81932253044851</v>
      </c>
      <c r="R37" s="6">
        <f t="shared" si="80"/>
        <v>5.55090555446074</v>
      </c>
      <c r="S37" s="6">
        <f t="shared" si="80"/>
        <v>5.35736879058684</v>
      </c>
      <c r="T37" s="6">
        <f t="shared" si="80"/>
        <v>5.21355324633475</v>
      </c>
      <c r="U37" s="6">
        <f t="shared" si="78"/>
        <v>5.09975251812002</v>
      </c>
      <c r="V37" s="28">
        <f t="shared" si="78"/>
        <v>5</v>
      </c>
      <c r="W37" s="25"/>
    </row>
    <row r="38" spans="7:23">
      <c r="G38" s="6">
        <f t="shared" si="69"/>
        <v>1</v>
      </c>
      <c r="H38" s="10">
        <f>(H9-H10)/($B$2)</f>
        <v>10</v>
      </c>
      <c r="I38" s="10">
        <f t="shared" ref="I38:U43" si="81">(I9-I10)/($B$2)</f>
        <v>10.1771169216163</v>
      </c>
      <c r="J38" s="10">
        <f t="shared" si="81"/>
        <v>10.4452570822249</v>
      </c>
      <c r="K38" s="17">
        <f t="shared" si="81"/>
        <v>10.9707381308</v>
      </c>
      <c r="L38" s="15">
        <f t="shared" si="81"/>
        <v>12.1787450246535</v>
      </c>
      <c r="M38" s="18">
        <f t="shared" ref="M38:N38" si="82">(M9-M11)/(2*$B$2)</f>
        <v>7.68669268683904</v>
      </c>
      <c r="N38" s="6">
        <f t="shared" si="82"/>
        <v>6.72651859688273</v>
      </c>
      <c r="O38" s="6">
        <f t="shared" ref="O38:P38" si="83">(O9-O11)/(2*$B$2)</f>
        <v>6.11422903328244</v>
      </c>
      <c r="P38" s="6">
        <f t="shared" si="83"/>
        <v>5.70052346729142</v>
      </c>
      <c r="Q38" s="6">
        <f t="shared" si="80"/>
        <v>5.42303937974864</v>
      </c>
      <c r="R38" s="6">
        <f t="shared" si="80"/>
        <v>5.24589330158349</v>
      </c>
      <c r="S38" s="6">
        <f t="shared" si="80"/>
        <v>5.13749972814141</v>
      </c>
      <c r="T38" s="6">
        <f t="shared" si="80"/>
        <v>5.07205528265572</v>
      </c>
      <c r="U38" s="6">
        <f t="shared" ref="U38:V38" si="84">(U9-U11)/(2*$B$2)</f>
        <v>5.0307035334379</v>
      </c>
      <c r="V38" s="28">
        <f t="shared" si="84"/>
        <v>5</v>
      </c>
      <c r="W38" s="25"/>
    </row>
    <row r="39" spans="7:23">
      <c r="G39" s="6">
        <f t="shared" si="69"/>
        <v>0.8</v>
      </c>
      <c r="H39" s="3"/>
      <c r="I39" s="3"/>
      <c r="J39" s="3"/>
      <c r="K39" s="3"/>
      <c r="L39" s="19"/>
      <c r="M39" s="15">
        <f t="shared" si="81"/>
        <v>6.6371163078312</v>
      </c>
      <c r="N39" s="6">
        <f t="shared" ref="N39" si="85">(N10-N12)/(2*$B$2)</f>
        <v>5.58753992882337</v>
      </c>
      <c r="O39" s="6">
        <f t="shared" ref="O39:P39" si="86">(O10-O12)/(2*$B$2)</f>
        <v>5.300047494342</v>
      </c>
      <c r="P39" s="6">
        <f t="shared" si="86"/>
        <v>5.06904869090087</v>
      </c>
      <c r="Q39" s="6">
        <f t="shared" si="80"/>
        <v>4.92641821967111</v>
      </c>
      <c r="R39" s="6">
        <f t="shared" si="80"/>
        <v>4.8721285439832</v>
      </c>
      <c r="S39" s="6">
        <f t="shared" si="80"/>
        <v>4.87468153773958</v>
      </c>
      <c r="T39" s="6">
        <f t="shared" si="80"/>
        <v>4.90646462270882</v>
      </c>
      <c r="U39" s="6">
        <f t="shared" ref="U39:V39" si="87">(U10-U12)/(2*$B$2)</f>
        <v>4.95100633297587</v>
      </c>
      <c r="V39" s="28">
        <f t="shared" si="87"/>
        <v>5</v>
      </c>
      <c r="W39" s="25"/>
    </row>
    <row r="40" spans="7:23">
      <c r="G40" s="6">
        <f t="shared" si="69"/>
        <v>0.6</v>
      </c>
      <c r="H40" s="3"/>
      <c r="I40" s="3"/>
      <c r="J40" s="3"/>
      <c r="K40" s="3"/>
      <c r="L40" s="3"/>
      <c r="M40" s="19"/>
      <c r="N40" s="15">
        <f t="shared" si="81"/>
        <v>5.00845612659235</v>
      </c>
      <c r="O40" s="6">
        <f t="shared" ref="O40:P40" si="88">(O11-O13)/(2*$B$2)</f>
        <v>4.42937232436134</v>
      </c>
      <c r="P40" s="6">
        <f t="shared" si="88"/>
        <v>4.34920558229893</v>
      </c>
      <c r="Q40" s="6">
        <f t="shared" si="80"/>
        <v>4.34145626405175</v>
      </c>
      <c r="R40" s="6">
        <f t="shared" si="80"/>
        <v>4.44152111693862</v>
      </c>
      <c r="S40" s="6">
        <f t="shared" si="80"/>
        <v>4.58263325612489</v>
      </c>
      <c r="T40" s="6">
        <f t="shared" si="80"/>
        <v>4.72811533746411</v>
      </c>
      <c r="U40" s="6">
        <f t="shared" ref="U40:V40" si="89">(U11-U13)/(2*$B$2)</f>
        <v>4.86685717575676</v>
      </c>
      <c r="V40" s="28">
        <f t="shared" si="89"/>
        <v>5</v>
      </c>
      <c r="W40" s="25"/>
    </row>
    <row r="41" spans="7:23">
      <c r="G41" s="6">
        <f t="shared" si="69"/>
        <v>0.4</v>
      </c>
      <c r="H41" s="3"/>
      <c r="I41" s="3"/>
      <c r="J41" s="3"/>
      <c r="K41" s="3"/>
      <c r="L41" s="3"/>
      <c r="M41" s="3"/>
      <c r="N41" s="19"/>
      <c r="O41" s="15">
        <f t="shared" si="81"/>
        <v>3.99315868712155</v>
      </c>
      <c r="P41" s="6">
        <f t="shared" ref="P41" si="90">(P12-P14)/(2*$B$2)</f>
        <v>3.55694504988176</v>
      </c>
      <c r="Q41" s="6">
        <f t="shared" si="80"/>
        <v>3.64868013729832</v>
      </c>
      <c r="R41" s="6">
        <f t="shared" si="80"/>
        <v>3.96986640359465</v>
      </c>
      <c r="S41" s="6">
        <f t="shared" si="80"/>
        <v>4.28621503235726</v>
      </c>
      <c r="T41" s="6">
        <f t="shared" si="80"/>
        <v>4.55650629526597</v>
      </c>
      <c r="U41" s="6">
        <f t="shared" ref="U41:V41" si="91">(U12-U14)/(2*$B$2)</f>
        <v>4.78830703258706</v>
      </c>
      <c r="V41" s="28">
        <f t="shared" si="91"/>
        <v>5</v>
      </c>
      <c r="W41" s="25"/>
    </row>
    <row r="42" spans="7:23">
      <c r="G42" s="6">
        <f t="shared" si="69"/>
        <v>0.2</v>
      </c>
      <c r="H42" s="3"/>
      <c r="I42" s="3"/>
      <c r="J42" s="3"/>
      <c r="K42" s="3"/>
      <c r="L42" s="3"/>
      <c r="M42" s="3"/>
      <c r="N42" s="3"/>
      <c r="O42" s="19"/>
      <c r="P42" s="15">
        <f t="shared" si="81"/>
        <v>3.14169894077345</v>
      </c>
      <c r="Q42" s="6">
        <f t="shared" si="80"/>
        <v>2.72645283166514</v>
      </c>
      <c r="R42" s="6">
        <f t="shared" si="80"/>
        <v>3.50304932778439</v>
      </c>
      <c r="S42" s="6">
        <f t="shared" si="80"/>
        <v>4.03585417444354</v>
      </c>
      <c r="T42" s="6">
        <f t="shared" si="80"/>
        <v>4.42338777865547</v>
      </c>
      <c r="U42" s="6">
        <f t="shared" ref="U42:V42" si="92">(U13-U15)/(2*$B$2)</f>
        <v>4.7298646593255</v>
      </c>
      <c r="V42" s="28">
        <f t="shared" si="92"/>
        <v>5</v>
      </c>
      <c r="W42" s="25"/>
    </row>
    <row r="43" spans="7:23">
      <c r="G43" s="6">
        <v>0</v>
      </c>
      <c r="H43" s="3"/>
      <c r="I43" s="3"/>
      <c r="J43" s="3"/>
      <c r="K43" s="3"/>
      <c r="L43" s="3"/>
      <c r="M43" s="3"/>
      <c r="N43" s="3"/>
      <c r="O43" s="3"/>
      <c r="P43" s="19"/>
      <c r="Q43" s="15">
        <f t="shared" si="81"/>
        <v>2.18323239119113</v>
      </c>
      <c r="R43" s="10">
        <f t="shared" si="81"/>
        <v>3.28002390143424</v>
      </c>
      <c r="S43" s="10">
        <f t="shared" si="81"/>
        <v>3.93076455897704</v>
      </c>
      <c r="T43" s="10">
        <f t="shared" si="81"/>
        <v>4.37132598558686</v>
      </c>
      <c r="U43" s="10">
        <f t="shared" si="81"/>
        <v>4.70776382605946</v>
      </c>
      <c r="V43" s="15">
        <f>(V14-V15)/($B$2)</f>
        <v>5</v>
      </c>
      <c r="W43" s="25"/>
    </row>
    <row r="44" spans="7:23">
      <c r="G44" s="3"/>
      <c r="H44" s="6">
        <v>0</v>
      </c>
      <c r="I44" s="6">
        <f>H44+$B$2</f>
        <v>0.2</v>
      </c>
      <c r="J44" s="6">
        <f t="shared" ref="J44:V44" si="93">I44+$B$2</f>
        <v>0.4</v>
      </c>
      <c r="K44" s="6">
        <f t="shared" si="93"/>
        <v>0.6</v>
      </c>
      <c r="L44" s="6">
        <f t="shared" si="93"/>
        <v>0.8</v>
      </c>
      <c r="M44" s="6">
        <f t="shared" si="93"/>
        <v>1</v>
      </c>
      <c r="N44" s="6">
        <f t="shared" si="93"/>
        <v>1.2</v>
      </c>
      <c r="O44" s="6">
        <f t="shared" si="93"/>
        <v>1.4</v>
      </c>
      <c r="P44" s="6">
        <f t="shared" si="93"/>
        <v>1.6</v>
      </c>
      <c r="Q44" s="6">
        <f t="shared" si="93"/>
        <v>1.8</v>
      </c>
      <c r="R44" s="6">
        <f t="shared" si="93"/>
        <v>2</v>
      </c>
      <c r="S44" s="6">
        <f t="shared" si="93"/>
        <v>2.2</v>
      </c>
      <c r="T44" s="6">
        <f t="shared" si="93"/>
        <v>2.4</v>
      </c>
      <c r="U44" s="6">
        <f t="shared" si="93"/>
        <v>2.6</v>
      </c>
      <c r="V44" s="6">
        <f t="shared" si="93"/>
        <v>2.8</v>
      </c>
      <c r="W44" s="25"/>
    </row>
    <row r="45" spans="7:22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2">
      <c r="F46" s="11" t="s">
        <v>10</v>
      </c>
      <c r="G46" s="3"/>
      <c r="H46" s="4">
        <v>1</v>
      </c>
      <c r="I46" s="4">
        <v>2</v>
      </c>
      <c r="J46" s="4">
        <v>3</v>
      </c>
      <c r="K46" s="4">
        <v>4</v>
      </c>
      <c r="L46" s="4">
        <v>5</v>
      </c>
      <c r="M46" s="4">
        <v>6</v>
      </c>
      <c r="N46" s="4">
        <v>7</v>
      </c>
      <c r="O46" s="4">
        <v>8</v>
      </c>
      <c r="P46" s="4">
        <v>9</v>
      </c>
      <c r="Q46" s="4">
        <v>10</v>
      </c>
      <c r="R46" s="4">
        <v>11</v>
      </c>
      <c r="S46" s="4">
        <v>12</v>
      </c>
      <c r="T46" s="4">
        <v>13</v>
      </c>
      <c r="U46" s="4">
        <v>14</v>
      </c>
      <c r="V46" s="4">
        <v>15</v>
      </c>
    </row>
    <row r="47" spans="7:22">
      <c r="G47" s="6">
        <f t="shared" ref="G47:G56" si="94">G48+B$2</f>
        <v>2</v>
      </c>
      <c r="H47" s="10">
        <f>(H5-I5)/$B$2</f>
        <v>0</v>
      </c>
      <c r="I47" s="10">
        <f>(I5-K5)/$B$2</f>
        <v>0</v>
      </c>
      <c r="J47" s="10">
        <f t="shared" ref="J47:T47" si="95">(J5-L5)/$B$2</f>
        <v>0</v>
      </c>
      <c r="K47" s="10">
        <f t="shared" si="95"/>
        <v>0</v>
      </c>
      <c r="L47" s="10">
        <f t="shared" si="95"/>
        <v>0</v>
      </c>
      <c r="M47" s="10">
        <f t="shared" si="95"/>
        <v>0</v>
      </c>
      <c r="N47" s="10">
        <f t="shared" si="95"/>
        <v>0</v>
      </c>
      <c r="O47" s="10">
        <f t="shared" si="95"/>
        <v>0</v>
      </c>
      <c r="P47" s="10">
        <f t="shared" si="95"/>
        <v>0</v>
      </c>
      <c r="Q47" s="10">
        <f t="shared" si="95"/>
        <v>0</v>
      </c>
      <c r="R47" s="10">
        <f t="shared" si="95"/>
        <v>0</v>
      </c>
      <c r="S47" s="10">
        <f t="shared" si="95"/>
        <v>0</v>
      </c>
      <c r="T47" s="10">
        <f t="shared" si="95"/>
        <v>0</v>
      </c>
      <c r="U47" s="10">
        <f>(U5-V5)/$B$2</f>
        <v>0</v>
      </c>
      <c r="V47" s="10">
        <f>(V5-U5)/$B$2</f>
        <v>0</v>
      </c>
    </row>
    <row r="48" spans="7:22">
      <c r="G48" s="6">
        <f t="shared" si="94"/>
        <v>1.8</v>
      </c>
      <c r="H48" s="12">
        <f t="shared" ref="H48:K52" si="96">(H6-I6)/$B$2</f>
        <v>-0.141723268059444</v>
      </c>
      <c r="I48" s="6">
        <f>(H6-J6)/(2*$B$2)</f>
        <v>-0.162170426688042</v>
      </c>
      <c r="J48" s="6">
        <f t="shared" ref="J48:U48" si="97">(I6-K6)/(2*$B$2)</f>
        <v>-0.224320937119264</v>
      </c>
      <c r="K48" s="6">
        <f t="shared" si="97"/>
        <v>-0.325872599286634</v>
      </c>
      <c r="L48" s="6">
        <f t="shared" si="97"/>
        <v>-0.447034914750977</v>
      </c>
      <c r="M48" s="6">
        <f t="shared" si="97"/>
        <v>-0.537683859227447</v>
      </c>
      <c r="N48" s="6">
        <f t="shared" si="97"/>
        <v>-0.56315539300094</v>
      </c>
      <c r="O48" s="6">
        <f t="shared" si="97"/>
        <v>-0.534748626203507</v>
      </c>
      <c r="P48" s="6">
        <f t="shared" si="97"/>
        <v>-0.477143279262129</v>
      </c>
      <c r="Q48" s="6">
        <f t="shared" si="97"/>
        <v>-0.410596712024431</v>
      </c>
      <c r="R48" s="6">
        <f t="shared" si="97"/>
        <v>-0.347755235863572</v>
      </c>
      <c r="S48" s="6">
        <f t="shared" si="97"/>
        <v>-0.295437337125994</v>
      </c>
      <c r="T48" s="6">
        <f t="shared" si="97"/>
        <v>-0.256900661419301</v>
      </c>
      <c r="U48" s="6">
        <f t="shared" si="97"/>
        <v>-0.233490439443944</v>
      </c>
      <c r="V48" s="6">
        <f>(U6-V6)/($B$2)</f>
        <v>-0.225655889108189</v>
      </c>
    </row>
    <row r="49" spans="7:22">
      <c r="G49" s="6">
        <f t="shared" si="94"/>
        <v>1.6</v>
      </c>
      <c r="H49" s="12">
        <f t="shared" si="96"/>
        <v>-0.242552218861678</v>
      </c>
      <c r="I49" s="6">
        <f t="shared" ref="I49:U49" si="98">(H7-J7)/(2*$B$2)</f>
        <v>-0.282637501573455</v>
      </c>
      <c r="J49" s="6">
        <f t="shared" si="98"/>
        <v>-0.409240722502393</v>
      </c>
      <c r="K49" s="6">
        <f t="shared" si="98"/>
        <v>-0.632134545276297</v>
      </c>
      <c r="L49" s="6">
        <f t="shared" si="98"/>
        <v>-0.924583200489826</v>
      </c>
      <c r="M49" s="6">
        <f t="shared" si="98"/>
        <v>-1.14054512915787</v>
      </c>
      <c r="N49" s="6">
        <f t="shared" si="98"/>
        <v>-1.18018908657281</v>
      </c>
      <c r="O49" s="6">
        <f t="shared" si="98"/>
        <v>-1.09869583255095</v>
      </c>
      <c r="P49" s="6">
        <f t="shared" si="98"/>
        <v>-0.963227778820566</v>
      </c>
      <c r="Q49" s="6">
        <f t="shared" si="98"/>
        <v>-0.817488332972045</v>
      </c>
      <c r="R49" s="6">
        <f t="shared" si="98"/>
        <v>-0.684986894303854</v>
      </c>
      <c r="S49" s="6">
        <f t="shared" si="98"/>
        <v>-0.577093451221102</v>
      </c>
      <c r="T49" s="6">
        <f t="shared" si="98"/>
        <v>-0.49867486910729</v>
      </c>
      <c r="U49" s="6">
        <f t="shared" si="98"/>
        <v>-0.451405207248277</v>
      </c>
      <c r="V49" s="6">
        <f t="shared" ref="V49:V57" si="99">(U7-V7)/($B$2)</f>
        <v>-0.435642677544847</v>
      </c>
    </row>
    <row r="50" spans="7:22">
      <c r="G50" s="6">
        <f t="shared" si="94"/>
        <v>1.4</v>
      </c>
      <c r="H50" s="12">
        <f t="shared" si="96"/>
        <v>-0.263210604240358</v>
      </c>
      <c r="I50" s="6">
        <f t="shared" ref="I50:U50" si="100">(H8-J8)/(2*$B$2)</f>
        <v>-0.316586638241712</v>
      </c>
      <c r="J50" s="6">
        <f t="shared" si="100"/>
        <v>-0.497869906040564</v>
      </c>
      <c r="K50" s="6">
        <f t="shared" si="100"/>
        <v>-0.868841658826329</v>
      </c>
      <c r="L50" s="6">
        <f t="shared" si="100"/>
        <v>-1.47861821277415</v>
      </c>
      <c r="M50" s="6">
        <f t="shared" si="100"/>
        <v>-1.91972437034141</v>
      </c>
      <c r="N50" s="6">
        <f t="shared" si="100"/>
        <v>-1.91835999158147</v>
      </c>
      <c r="O50" s="6">
        <f t="shared" si="100"/>
        <v>-1.71661783860693</v>
      </c>
      <c r="P50" s="6">
        <f t="shared" si="100"/>
        <v>-1.45958367049714</v>
      </c>
      <c r="Q50" s="6">
        <f t="shared" si="100"/>
        <v>-1.21114194673933</v>
      </c>
      <c r="R50" s="6">
        <f t="shared" si="100"/>
        <v>-0.99761055715869</v>
      </c>
      <c r="S50" s="6">
        <f t="shared" si="100"/>
        <v>-0.829274704347267</v>
      </c>
      <c r="T50" s="6">
        <f t="shared" si="100"/>
        <v>-0.709300156540476</v>
      </c>
      <c r="U50" s="6">
        <f t="shared" si="100"/>
        <v>-0.637812842897025</v>
      </c>
      <c r="V50" s="6">
        <f t="shared" si="99"/>
        <v>-0.614104406574647</v>
      </c>
    </row>
    <row r="51" spans="7:22">
      <c r="G51" s="6">
        <f t="shared" si="94"/>
        <v>1.2</v>
      </c>
      <c r="H51" s="12">
        <f t="shared" si="96"/>
        <v>-0.177116921616323</v>
      </c>
      <c r="I51" s="6">
        <f t="shared" ref="I51:U52" si="101">(H9-J9)/(2*$B$2)</f>
        <v>-0.222628541112466</v>
      </c>
      <c r="J51" s="6">
        <f t="shared" si="101"/>
        <v>-0.396810604591833</v>
      </c>
      <c r="K51" s="6">
        <f t="shared" si="101"/>
        <v>-0.866743971214303</v>
      </c>
      <c r="L51" s="6">
        <f t="shared" si="101"/>
        <v>-2.20132362143905</v>
      </c>
      <c r="M51" s="6">
        <f t="shared" si="101"/>
        <v>-3.14137414785214</v>
      </c>
      <c r="N51" s="6">
        <f t="shared" si="101"/>
        <v>-2.85690867080474</v>
      </c>
      <c r="O51" s="6">
        <f t="shared" si="101"/>
        <v>-2.38983185979817</v>
      </c>
      <c r="P51" s="6">
        <f t="shared" si="101"/>
        <v>-1.94734711782174</v>
      </c>
      <c r="Q51" s="6">
        <f t="shared" si="101"/>
        <v>-1.56988522632943</v>
      </c>
      <c r="R51" s="6">
        <f t="shared" si="101"/>
        <v>-1.26503868324432</v>
      </c>
      <c r="S51" s="6">
        <f t="shared" si="101"/>
        <v>-1.03309465246879</v>
      </c>
      <c r="T51" s="6">
        <f t="shared" si="101"/>
        <v>-0.871438209810316</v>
      </c>
      <c r="U51" s="6">
        <f t="shared" si="101"/>
        <v>-0.776441601224702</v>
      </c>
      <c r="V51" s="6">
        <f t="shared" si="99"/>
        <v>-0.745149262959681</v>
      </c>
    </row>
    <row r="52" spans="7:22">
      <c r="G52" s="6">
        <f t="shared" si="94"/>
        <v>1</v>
      </c>
      <c r="H52" s="10">
        <f t="shared" si="96"/>
        <v>0</v>
      </c>
      <c r="I52" s="10">
        <f t="shared" si="96"/>
        <v>0</v>
      </c>
      <c r="J52" s="10">
        <f t="shared" si="96"/>
        <v>0</v>
      </c>
      <c r="K52" s="10">
        <f t="shared" si="96"/>
        <v>0</v>
      </c>
      <c r="L52" s="10">
        <f>(L10-M10)/(2*$B$2)</f>
        <v>-3.3185581539156</v>
      </c>
      <c r="M52" s="6">
        <f t="shared" si="101"/>
        <v>-5.58753992882337</v>
      </c>
      <c r="N52" s="6">
        <f t="shared" ref="N52:U52" si="102">(M10-O10)/(2*$B$2)</f>
        <v>-3.97806868398718</v>
      </c>
      <c r="O52" s="6">
        <f t="shared" si="102"/>
        <v>-3.03845381195926</v>
      </c>
      <c r="P52" s="6">
        <f t="shared" si="102"/>
        <v>-2.37008771466222</v>
      </c>
      <c r="Q52" s="6">
        <f t="shared" si="102"/>
        <v>-1.85601315751235</v>
      </c>
      <c r="R52" s="6">
        <f t="shared" si="102"/>
        <v>-1.45956429702037</v>
      </c>
      <c r="S52" s="6">
        <f t="shared" si="102"/>
        <v>-1.16662701247325</v>
      </c>
      <c r="T52" s="6">
        <f t="shared" si="102"/>
        <v>-0.966916429007294</v>
      </c>
      <c r="U52" s="6">
        <f t="shared" si="102"/>
        <v>-0.851366089231775</v>
      </c>
      <c r="V52" s="6">
        <f t="shared" si="99"/>
        <v>-0.813609442814682</v>
      </c>
    </row>
    <row r="53" spans="7:22">
      <c r="G53" s="6">
        <f t="shared" si="94"/>
        <v>0.8</v>
      </c>
      <c r="H53" s="3"/>
      <c r="I53" s="3"/>
      <c r="J53" s="3"/>
      <c r="K53" s="3"/>
      <c r="L53" s="19"/>
      <c r="M53" s="15">
        <f>(M11-N11)/($B$2)</f>
        <v>-5.00845612659235</v>
      </c>
      <c r="N53" s="6">
        <f t="shared" ref="N53:U53" si="103">(M11-O11)/(2*$B$2)</f>
        <v>-4.42937232436134</v>
      </c>
      <c r="O53" s="6">
        <f t="shared" si="103"/>
        <v>-3.41582698938948</v>
      </c>
      <c r="P53" s="6">
        <f t="shared" si="103"/>
        <v>-2.63853677135554</v>
      </c>
      <c r="Q53" s="6">
        <f t="shared" si="103"/>
        <v>-2.02451539203736</v>
      </c>
      <c r="R53" s="6">
        <f t="shared" si="103"/>
        <v>-1.55057833485155</v>
      </c>
      <c r="S53" s="6">
        <f t="shared" si="103"/>
        <v>-1.20693267139657</v>
      </c>
      <c r="T53" s="6">
        <f t="shared" si="103"/>
        <v>-0.978234404513822</v>
      </c>
      <c r="U53" s="6">
        <f t="shared" si="103"/>
        <v>-0.848496883880422</v>
      </c>
      <c r="V53" s="6">
        <f t="shared" si="99"/>
        <v>-0.806556329835486</v>
      </c>
    </row>
    <row r="54" spans="7:22">
      <c r="G54" s="6">
        <f t="shared" si="94"/>
        <v>0.6</v>
      </c>
      <c r="H54" s="3"/>
      <c r="I54" s="3"/>
      <c r="J54" s="3"/>
      <c r="K54" s="3"/>
      <c r="L54" s="3"/>
      <c r="M54" s="20"/>
      <c r="N54" s="15">
        <f>(N12-O12)/($B$2)</f>
        <v>-3.99315868712155</v>
      </c>
      <c r="O54" s="6">
        <f t="shared" ref="O54:U54" si="104">(N12-P12)/(2*$B$2)</f>
        <v>-3.55694504988176</v>
      </c>
      <c r="P54" s="6">
        <f t="shared" si="104"/>
        <v>-2.74371698933311</v>
      </c>
      <c r="Q54" s="6">
        <f t="shared" si="104"/>
        <v>-2.05293330443001</v>
      </c>
      <c r="R54" s="6">
        <f t="shared" si="104"/>
        <v>-1.5113009789519</v>
      </c>
      <c r="S54" s="6">
        <f t="shared" si="104"/>
        <v>-1.13229093374764</v>
      </c>
      <c r="T54" s="6">
        <f t="shared" si="104"/>
        <v>-0.890591633771003</v>
      </c>
      <c r="U54" s="6">
        <f t="shared" si="104"/>
        <v>-0.757830711940595</v>
      </c>
      <c r="V54" s="6">
        <f t="shared" si="99"/>
        <v>-0.715622108766421</v>
      </c>
    </row>
    <row r="55" spans="7:22">
      <c r="G55" s="6">
        <f t="shared" si="94"/>
        <v>0.4</v>
      </c>
      <c r="H55" s="3"/>
      <c r="I55" s="3"/>
      <c r="J55" s="3"/>
      <c r="K55" s="3"/>
      <c r="L55" s="3"/>
      <c r="M55" s="3"/>
      <c r="N55" s="20"/>
      <c r="O55" s="15">
        <f>(O13-P13)/($B$2)</f>
        <v>-3.14169894077345</v>
      </c>
      <c r="P55" s="16">
        <f t="shared" ref="P55:U55" si="105">(O13-Q13)/(2*$B$2)</f>
        <v>-2.72645283166514</v>
      </c>
      <c r="Q55" s="6">
        <f t="shared" si="105"/>
        <v>-1.93219985739767</v>
      </c>
      <c r="R55" s="6">
        <f t="shared" si="105"/>
        <v>-1.3094013427784</v>
      </c>
      <c r="S55" s="6">
        <f t="shared" si="105"/>
        <v>-0.920338450871075</v>
      </c>
      <c r="T55" s="6">
        <f t="shared" si="105"/>
        <v>-0.694010484881956</v>
      </c>
      <c r="U55" s="6">
        <f t="shared" si="105"/>
        <v>-0.576612221344533</v>
      </c>
      <c r="V55" s="6">
        <f t="shared" si="99"/>
        <v>-0.540270681349007</v>
      </c>
    </row>
    <row r="56" spans="7:22">
      <c r="G56" s="6">
        <f t="shared" si="94"/>
        <v>0.2</v>
      </c>
      <c r="H56" s="3"/>
      <c r="I56" s="3"/>
      <c r="J56" s="3"/>
      <c r="K56" s="3"/>
      <c r="L56" s="3"/>
      <c r="M56" s="3"/>
      <c r="N56" s="3"/>
      <c r="O56" s="20"/>
      <c r="P56" s="15">
        <f>(P14-Q14)/($B$2)</f>
        <v>-2.18323239119113</v>
      </c>
      <c r="Q56" s="29">
        <f t="shared" ref="Q56:U56" si="106">(P14-R14)/(2*$B$2)</f>
        <v>-1.64001195071712</v>
      </c>
      <c r="R56" s="6">
        <f t="shared" si="106"/>
        <v>-0.873766083892957</v>
      </c>
      <c r="S56" s="6">
        <f t="shared" si="106"/>
        <v>-0.54565104207631</v>
      </c>
      <c r="T56" s="6">
        <f t="shared" si="106"/>
        <v>-0.388499633541209</v>
      </c>
      <c r="U56" s="6">
        <f t="shared" si="106"/>
        <v>-0.31433700720657</v>
      </c>
      <c r="V56" s="6">
        <f t="shared" si="99"/>
        <v>-0.292236173940538</v>
      </c>
    </row>
    <row r="57" spans="7:22">
      <c r="G57" s="6">
        <v>0</v>
      </c>
      <c r="H57" s="3"/>
      <c r="I57" s="3"/>
      <c r="J57" s="3"/>
      <c r="K57" s="3"/>
      <c r="L57" s="3"/>
      <c r="M57" s="3"/>
      <c r="N57" s="3"/>
      <c r="O57" s="3"/>
      <c r="P57" s="19"/>
      <c r="Q57" s="15">
        <f>(Q15-R15)/($B$2)</f>
        <v>0</v>
      </c>
      <c r="R57" s="10">
        <f t="shared" ref="R57:U57" si="107">(R15-S15)/($B$2)</f>
        <v>0</v>
      </c>
      <c r="S57" s="15">
        <f t="shared" si="107"/>
        <v>0</v>
      </c>
      <c r="T57" s="15">
        <f t="shared" si="107"/>
        <v>0</v>
      </c>
      <c r="U57" s="15">
        <f t="shared" si="107"/>
        <v>0</v>
      </c>
      <c r="V57" s="15">
        <f t="shared" si="99"/>
        <v>0</v>
      </c>
    </row>
    <row r="58" spans="7:22">
      <c r="G58" s="3"/>
      <c r="H58" s="6">
        <v>0</v>
      </c>
      <c r="I58" s="6">
        <f>H58+$B$2</f>
        <v>0.2</v>
      </c>
      <c r="J58" s="6">
        <f t="shared" ref="J58:V58" si="108">I58+$B$2</f>
        <v>0.4</v>
      </c>
      <c r="K58" s="6">
        <f t="shared" si="108"/>
        <v>0.6</v>
      </c>
      <c r="L58" s="6">
        <f t="shared" si="108"/>
        <v>0.8</v>
      </c>
      <c r="M58" s="6">
        <f t="shared" si="108"/>
        <v>1</v>
      </c>
      <c r="N58" s="6">
        <f t="shared" si="108"/>
        <v>1.2</v>
      </c>
      <c r="O58" s="21">
        <f t="shared" si="108"/>
        <v>1.4</v>
      </c>
      <c r="P58" s="6">
        <f t="shared" si="108"/>
        <v>1.6</v>
      </c>
      <c r="Q58" s="6">
        <f t="shared" si="108"/>
        <v>1.8</v>
      </c>
      <c r="R58" s="6">
        <f t="shared" si="108"/>
        <v>2</v>
      </c>
      <c r="S58" s="6">
        <f t="shared" si="108"/>
        <v>2.2</v>
      </c>
      <c r="T58" s="6">
        <f t="shared" si="108"/>
        <v>2.4</v>
      </c>
      <c r="U58" s="6">
        <f t="shared" si="108"/>
        <v>2.6</v>
      </c>
      <c r="V58" s="6">
        <f t="shared" si="108"/>
        <v>2.8</v>
      </c>
    </row>
    <row r="59" spans="7:22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2">
      <c r="F60" t="s">
        <v>17</v>
      </c>
      <c r="G60" s="3"/>
      <c r="H60" s="6">
        <v>1</v>
      </c>
      <c r="I60" s="6">
        <v>2</v>
      </c>
      <c r="J60" s="6">
        <v>3</v>
      </c>
      <c r="K60" s="6">
        <v>4</v>
      </c>
      <c r="L60" s="6">
        <v>5</v>
      </c>
      <c r="M60" s="6">
        <v>6</v>
      </c>
      <c r="N60" s="6">
        <v>7</v>
      </c>
      <c r="O60" s="6">
        <v>8</v>
      </c>
      <c r="P60" s="6">
        <v>9</v>
      </c>
      <c r="Q60" s="6">
        <v>10</v>
      </c>
      <c r="R60" s="6">
        <v>11</v>
      </c>
      <c r="S60" s="6">
        <v>12</v>
      </c>
      <c r="T60" s="6">
        <v>13</v>
      </c>
      <c r="U60" s="6">
        <v>14</v>
      </c>
      <c r="V60" s="6">
        <v>15</v>
      </c>
    </row>
    <row r="61" spans="7:22">
      <c r="G61" s="6">
        <f t="shared" ref="G61:G70" si="109">G62+B$2</f>
        <v>2</v>
      </c>
      <c r="H61" s="10">
        <f>(H33^2+H47^2)^0.5</f>
        <v>10</v>
      </c>
      <c r="I61" s="10">
        <f t="shared" ref="I61:V61" si="110">(I33^2+I47^2)^0.5</f>
        <v>9.85827673194056</v>
      </c>
      <c r="J61" s="10">
        <f t="shared" si="110"/>
        <v>9.67565914662392</v>
      </c>
      <c r="K61" s="10">
        <f t="shared" si="110"/>
        <v>9.40963485770203</v>
      </c>
      <c r="L61" s="10">
        <f t="shared" si="110"/>
        <v>9.02391394805065</v>
      </c>
      <c r="M61" s="10">
        <f t="shared" si="110"/>
        <v>8.51556502820007</v>
      </c>
      <c r="N61" s="10">
        <f t="shared" si="110"/>
        <v>7.94854622959575</v>
      </c>
      <c r="O61" s="10">
        <f t="shared" si="110"/>
        <v>7.38925424219819</v>
      </c>
      <c r="P61" s="10">
        <f t="shared" si="110"/>
        <v>6.87904897718874</v>
      </c>
      <c r="Q61" s="10">
        <f t="shared" si="110"/>
        <v>6.43496768367394</v>
      </c>
      <c r="R61" s="10">
        <f t="shared" si="110"/>
        <v>6.05785555313988</v>
      </c>
      <c r="S61" s="10">
        <f t="shared" si="110"/>
        <v>5.73945721194679</v>
      </c>
      <c r="T61" s="10">
        <f t="shared" si="110"/>
        <v>5.46698087888789</v>
      </c>
      <c r="U61" s="10">
        <f t="shared" si="110"/>
        <v>5.22565588910819</v>
      </c>
      <c r="V61" s="10">
        <f t="shared" si="110"/>
        <v>5</v>
      </c>
    </row>
    <row r="62" spans="7:22">
      <c r="G62" s="6">
        <f t="shared" si="109"/>
        <v>1.8</v>
      </c>
      <c r="H62" s="10">
        <f t="shared" ref="H62:V62" si="111">(H34^2+H48^2)^0.5</f>
        <v>10.0010042238122</v>
      </c>
      <c r="I62" s="10">
        <f t="shared" si="111"/>
        <v>9.88005490639572</v>
      </c>
      <c r="J62" s="10">
        <f t="shared" si="111"/>
        <v>9.71995132748393</v>
      </c>
      <c r="K62" s="10">
        <f t="shared" si="111"/>
        <v>9.47508862339903</v>
      </c>
      <c r="L62" s="10">
        <f t="shared" si="111"/>
        <v>9.09621938915883</v>
      </c>
      <c r="M62" s="10">
        <f t="shared" si="111"/>
        <v>8.56180000866466</v>
      </c>
      <c r="N62" s="10">
        <f t="shared" si="111"/>
        <v>7.96461732731118</v>
      </c>
      <c r="O62" s="10">
        <f t="shared" si="111"/>
        <v>7.38409929876401</v>
      </c>
      <c r="P62" s="10">
        <f t="shared" si="111"/>
        <v>6.86259452364266</v>
      </c>
      <c r="Q62" s="10">
        <f t="shared" si="111"/>
        <v>6.4146376021929</v>
      </c>
      <c r="R62" s="10">
        <f t="shared" si="111"/>
        <v>6.03852049588619</v>
      </c>
      <c r="S62" s="10">
        <f t="shared" si="111"/>
        <v>5.72412544541708</v>
      </c>
      <c r="T62" s="10">
        <f t="shared" si="111"/>
        <v>5.45745514717724</v>
      </c>
      <c r="U62" s="10">
        <f t="shared" si="111"/>
        <v>5.22304291660145</v>
      </c>
      <c r="V62" s="10">
        <f t="shared" si="111"/>
        <v>5.00508946776071</v>
      </c>
    </row>
    <row r="63" spans="7:22">
      <c r="G63" s="6">
        <f t="shared" si="109"/>
        <v>1.6</v>
      </c>
      <c r="H63" s="10">
        <f t="shared" ref="H63:V63" si="112">(H35^2+H49^2)^0.5</f>
        <v>10.0029411464266</v>
      </c>
      <c r="I63" s="10">
        <f t="shared" si="112"/>
        <v>9.94327412820845</v>
      </c>
      <c r="J63" s="10">
        <f t="shared" si="112"/>
        <v>9.85408535097355</v>
      </c>
      <c r="K63" s="10">
        <f t="shared" si="112"/>
        <v>9.68635601814515</v>
      </c>
      <c r="L63" s="10">
        <f t="shared" si="112"/>
        <v>9.3484487958751</v>
      </c>
      <c r="M63" s="10">
        <f t="shared" si="112"/>
        <v>8.70912978206517</v>
      </c>
      <c r="N63" s="10">
        <f t="shared" si="112"/>
        <v>8.00801737133653</v>
      </c>
      <c r="O63" s="10">
        <f t="shared" si="112"/>
        <v>7.36137223149166</v>
      </c>
      <c r="P63" s="10">
        <f t="shared" si="112"/>
        <v>6.80719860908654</v>
      </c>
      <c r="Q63" s="10">
        <f t="shared" si="112"/>
        <v>6.34932562705215</v>
      </c>
      <c r="R63" s="10">
        <f t="shared" si="112"/>
        <v>5.97753699339647</v>
      </c>
      <c r="S63" s="10">
        <f t="shared" si="112"/>
        <v>5.67603705670031</v>
      </c>
      <c r="T63" s="10">
        <f t="shared" si="112"/>
        <v>5.42728083533035</v>
      </c>
      <c r="U63" s="10">
        <f t="shared" si="112"/>
        <v>5.21380209742791</v>
      </c>
      <c r="V63" s="10">
        <f t="shared" si="112"/>
        <v>5.01894257214589</v>
      </c>
    </row>
    <row r="64" spans="7:22">
      <c r="G64" s="6">
        <f t="shared" si="109"/>
        <v>1.4</v>
      </c>
      <c r="H64" s="10">
        <f t="shared" ref="H64:V64" si="113">(H36^2+H50^2)^0.5</f>
        <v>10.0034633913552</v>
      </c>
      <c r="I64" s="10">
        <f t="shared" si="113"/>
        <v>10.0377114182715</v>
      </c>
      <c r="J64" s="10">
        <f t="shared" si="113"/>
        <v>10.0723212184628</v>
      </c>
      <c r="K64" s="10">
        <f t="shared" si="113"/>
        <v>10.082652402994</v>
      </c>
      <c r="L64" s="10">
        <f t="shared" si="113"/>
        <v>9.93603481435889</v>
      </c>
      <c r="M64" s="10">
        <f t="shared" si="113"/>
        <v>8.97609653670093</v>
      </c>
      <c r="N64" s="10">
        <f t="shared" si="113"/>
        <v>8.05630242819102</v>
      </c>
      <c r="O64" s="10">
        <f t="shared" si="113"/>
        <v>7.29649313768844</v>
      </c>
      <c r="P64" s="10">
        <f t="shared" si="113"/>
        <v>6.6944865903046</v>
      </c>
      <c r="Q64" s="10">
        <f t="shared" si="113"/>
        <v>6.22649635419868</v>
      </c>
      <c r="R64" s="10">
        <f t="shared" si="113"/>
        <v>5.86648297544185</v>
      </c>
      <c r="S64" s="10">
        <f t="shared" si="113"/>
        <v>5.58937712700614</v>
      </c>
      <c r="T64" s="10">
        <f t="shared" si="113"/>
        <v>5.3720684386223</v>
      </c>
      <c r="U64" s="10">
        <f t="shared" si="113"/>
        <v>5.19406264221393</v>
      </c>
      <c r="V64" s="10">
        <f t="shared" si="113"/>
        <v>5.03757126224279</v>
      </c>
    </row>
    <row r="65" spans="7:22">
      <c r="G65" s="6">
        <f t="shared" si="109"/>
        <v>1.2</v>
      </c>
      <c r="H65" s="10">
        <f t="shared" ref="H65:V65" si="114">(H37^2+H51^2)^0.5</f>
        <v>10.0015683972027</v>
      </c>
      <c r="I65" s="10">
        <f t="shared" si="114"/>
        <v>10.1340509898691</v>
      </c>
      <c r="J65" s="10">
        <f t="shared" si="114"/>
        <v>10.3242151527496</v>
      </c>
      <c r="K65" s="10">
        <f t="shared" si="114"/>
        <v>10.6647544890888</v>
      </c>
      <c r="L65" s="10">
        <f t="shared" si="114"/>
        <v>11.3999838541621</v>
      </c>
      <c r="M65" s="10">
        <f t="shared" si="114"/>
        <v>9.33403244835638</v>
      </c>
      <c r="N65" s="10">
        <f t="shared" si="114"/>
        <v>8.04216565613212</v>
      </c>
      <c r="O65" s="10">
        <f t="shared" si="114"/>
        <v>7.14155879640304</v>
      </c>
      <c r="P65" s="10">
        <f t="shared" si="114"/>
        <v>6.49459856510771</v>
      </c>
      <c r="Q65" s="10">
        <f t="shared" si="114"/>
        <v>6.02735881935306</v>
      </c>
      <c r="R65" s="10">
        <f t="shared" si="114"/>
        <v>5.69323065970874</v>
      </c>
      <c r="S65" s="10">
        <f t="shared" si="114"/>
        <v>5.45606863220336</v>
      </c>
      <c r="T65" s="10">
        <f t="shared" si="114"/>
        <v>5.28588138401582</v>
      </c>
      <c r="U65" s="10">
        <f t="shared" si="114"/>
        <v>5.15852084479493</v>
      </c>
      <c r="V65" s="10">
        <f t="shared" si="114"/>
        <v>5.05521981956169</v>
      </c>
    </row>
    <row r="66" spans="7:22">
      <c r="G66" s="6">
        <f t="shared" si="109"/>
        <v>1</v>
      </c>
      <c r="H66" s="10">
        <f t="shared" ref="H66:V66" si="115">(H38^2+H52^2)^0.5</f>
        <v>10</v>
      </c>
      <c r="I66" s="10">
        <f t="shared" si="115"/>
        <v>10.1771169216163</v>
      </c>
      <c r="J66" s="10">
        <f t="shared" si="115"/>
        <v>10.4452570822249</v>
      </c>
      <c r="K66" s="10">
        <f t="shared" si="115"/>
        <v>10.9707381308</v>
      </c>
      <c r="L66" s="10">
        <f t="shared" si="115"/>
        <v>12.6227833141682</v>
      </c>
      <c r="M66" s="10">
        <f t="shared" ref="M66:N66" si="116">(M38^2+M52^2)^0.5</f>
        <v>9.50293885690633</v>
      </c>
      <c r="N66" s="10">
        <f t="shared" si="116"/>
        <v>7.81479896662279</v>
      </c>
      <c r="O66" s="10">
        <f t="shared" si="115"/>
        <v>6.82759095427103</v>
      </c>
      <c r="P66" s="10">
        <f t="shared" ref="P66:U71" si="117">(P38^2+P52^2)^0.5</f>
        <v>6.17359567645412</v>
      </c>
      <c r="Q66" s="10">
        <f t="shared" si="117"/>
        <v>5.7318531868117</v>
      </c>
      <c r="R66" s="10">
        <f t="shared" si="117"/>
        <v>5.44515605549879</v>
      </c>
      <c r="S66" s="10">
        <f t="shared" si="117"/>
        <v>5.26829403534819</v>
      </c>
      <c r="T66" s="10">
        <f t="shared" si="117"/>
        <v>5.16339734777404</v>
      </c>
      <c r="U66" s="10">
        <f t="shared" si="117"/>
        <v>5.10223502587233</v>
      </c>
      <c r="V66" s="10">
        <f t="shared" si="115"/>
        <v>5.06576354811762</v>
      </c>
    </row>
    <row r="67" spans="7:22">
      <c r="G67" s="6">
        <f t="shared" si="109"/>
        <v>0.8</v>
      </c>
      <c r="H67" s="3"/>
      <c r="I67" s="3"/>
      <c r="J67" s="3"/>
      <c r="K67" s="3"/>
      <c r="L67" s="19"/>
      <c r="M67" s="15">
        <f t="shared" ref="M67" si="118">(M39^2+M53^2)^0.5</f>
        <v>8.31480280317455</v>
      </c>
      <c r="N67" s="10">
        <f t="shared" ref="N67:O67" si="119">(N39^2+N53^2)^0.5</f>
        <v>7.13021329582879</v>
      </c>
      <c r="O67" s="10">
        <f t="shared" si="119"/>
        <v>6.30542444754693</v>
      </c>
      <c r="P67" s="10">
        <f t="shared" si="117"/>
        <v>5.71464180194342</v>
      </c>
      <c r="Q67" s="10">
        <f t="shared" si="117"/>
        <v>5.32618616344788</v>
      </c>
      <c r="R67" s="10">
        <f t="shared" si="117"/>
        <v>5.11291792635153</v>
      </c>
      <c r="S67" s="10">
        <f t="shared" si="117"/>
        <v>5.02187281476379</v>
      </c>
      <c r="T67" s="10">
        <f t="shared" si="117"/>
        <v>5.00303284459214</v>
      </c>
      <c r="U67" s="10">
        <f t="shared" si="117"/>
        <v>5.02318730201472</v>
      </c>
      <c r="V67" s="10">
        <f t="shared" ref="V67" si="120">(V39^2+V53^2)^0.5</f>
        <v>5.0646355360675</v>
      </c>
    </row>
    <row r="68" spans="7:22">
      <c r="G68" s="6">
        <f t="shared" si="109"/>
        <v>0.6</v>
      </c>
      <c r="H68" s="3"/>
      <c r="I68" s="3"/>
      <c r="J68" s="3"/>
      <c r="K68" s="3"/>
      <c r="L68" s="3"/>
      <c r="M68" s="20"/>
      <c r="N68" s="15">
        <f t="shared" ref="N68:O68" si="121">(N40^2+N54^2)^0.5</f>
        <v>6.40546244017829</v>
      </c>
      <c r="O68" s="10">
        <f t="shared" si="121"/>
        <v>5.68077435528789</v>
      </c>
      <c r="P68" s="10">
        <f t="shared" si="117"/>
        <v>5.14233138903507</v>
      </c>
      <c r="Q68" s="10">
        <f t="shared" si="117"/>
        <v>4.80237208524205</v>
      </c>
      <c r="R68" s="10">
        <f t="shared" si="117"/>
        <v>4.69160318880366</v>
      </c>
      <c r="S68" s="10">
        <f t="shared" si="117"/>
        <v>4.72044598727588</v>
      </c>
      <c r="T68" s="10">
        <f t="shared" si="117"/>
        <v>4.81126055234034</v>
      </c>
      <c r="U68" s="10">
        <f t="shared" si="117"/>
        <v>4.92550567527594</v>
      </c>
      <c r="V68" s="10">
        <f t="shared" ref="V68" si="122">(V40^2+V54^2)^0.5</f>
        <v>5.05095189073855</v>
      </c>
    </row>
    <row r="69" spans="7:22">
      <c r="G69" s="6">
        <f t="shared" si="109"/>
        <v>0.4</v>
      </c>
      <c r="H69" s="3"/>
      <c r="I69" s="3"/>
      <c r="J69" s="3"/>
      <c r="K69" s="3"/>
      <c r="L69" s="3"/>
      <c r="M69" s="3"/>
      <c r="N69" s="20"/>
      <c r="O69" s="15">
        <f t="shared" ref="O69" si="123">(O41^2+O55^2)^0.5</f>
        <v>5.08090430287673</v>
      </c>
      <c r="P69" s="10">
        <f t="shared" si="117"/>
        <v>4.4816741437964</v>
      </c>
      <c r="Q69" s="10">
        <f t="shared" si="117"/>
        <v>4.12871203079639</v>
      </c>
      <c r="R69" s="10">
        <f t="shared" si="117"/>
        <v>4.18023577551068</v>
      </c>
      <c r="S69" s="10">
        <f t="shared" si="117"/>
        <v>4.38390946162864</v>
      </c>
      <c r="T69" s="10">
        <f t="shared" si="117"/>
        <v>4.6090563211925</v>
      </c>
      <c r="U69" s="10">
        <f t="shared" si="117"/>
        <v>4.82290015365512</v>
      </c>
      <c r="V69" s="10">
        <f t="shared" ref="V69" si="124">(V41^2+V55^2)^0.5</f>
        <v>5.02910453352536</v>
      </c>
    </row>
    <row r="70" spans="7:22">
      <c r="G70" s="6">
        <f t="shared" si="109"/>
        <v>0.2</v>
      </c>
      <c r="H70" s="3"/>
      <c r="I70" s="3"/>
      <c r="J70" s="3"/>
      <c r="K70" s="3"/>
      <c r="L70" s="3"/>
      <c r="M70" s="3"/>
      <c r="N70" s="3"/>
      <c r="O70" s="20"/>
      <c r="P70" s="15">
        <f t="shared" si="117"/>
        <v>3.8258039558246</v>
      </c>
      <c r="Q70" s="10">
        <f t="shared" si="117"/>
        <v>3.18169518367015</v>
      </c>
      <c r="R70" s="10">
        <f t="shared" si="117"/>
        <v>3.61037695570038</v>
      </c>
      <c r="S70" s="10">
        <f t="shared" si="117"/>
        <v>4.07257338510828</v>
      </c>
      <c r="T70" s="10">
        <f t="shared" si="117"/>
        <v>4.44041567937284</v>
      </c>
      <c r="U70" s="10">
        <f t="shared" si="117"/>
        <v>4.74029824479809</v>
      </c>
      <c r="V70" s="10">
        <f t="shared" ref="V70" si="125">(V42^2+V56^2)^0.5</f>
        <v>5.00853291706857</v>
      </c>
    </row>
    <row r="71" spans="7:22">
      <c r="G71" s="6">
        <v>0</v>
      </c>
      <c r="H71" s="3"/>
      <c r="I71" s="3"/>
      <c r="J71" s="3"/>
      <c r="K71" s="3"/>
      <c r="L71" s="3"/>
      <c r="M71" s="3"/>
      <c r="N71" s="3"/>
      <c r="O71" s="3"/>
      <c r="P71" s="19"/>
      <c r="Q71" s="15">
        <f t="shared" si="117"/>
        <v>2.18323239119113</v>
      </c>
      <c r="R71" s="10">
        <f t="shared" si="117"/>
        <v>3.28002390143424</v>
      </c>
      <c r="S71" s="10">
        <f t="shared" si="117"/>
        <v>3.93076455897704</v>
      </c>
      <c r="T71" s="10">
        <f t="shared" si="117"/>
        <v>4.37132598558686</v>
      </c>
      <c r="U71" s="10">
        <f t="shared" si="117"/>
        <v>4.70776382605946</v>
      </c>
      <c r="V71" s="10">
        <f t="shared" ref="V71" si="126">(V43^2+V57^2)^0.5</f>
        <v>5</v>
      </c>
    </row>
    <row r="72" spans="7:22">
      <c r="G72" s="3"/>
      <c r="H72" s="6">
        <v>0</v>
      </c>
      <c r="I72" s="6">
        <f>H72+$B$2</f>
        <v>0.2</v>
      </c>
      <c r="J72" s="6">
        <f t="shared" ref="J72:V72" si="127">I72+$B$2</f>
        <v>0.4</v>
      </c>
      <c r="K72" s="6">
        <f t="shared" si="127"/>
        <v>0.6</v>
      </c>
      <c r="L72" s="6">
        <f t="shared" si="127"/>
        <v>0.8</v>
      </c>
      <c r="M72" s="6">
        <f t="shared" si="127"/>
        <v>1</v>
      </c>
      <c r="N72" s="6">
        <f t="shared" si="127"/>
        <v>1.2</v>
      </c>
      <c r="O72" s="6">
        <f t="shared" si="127"/>
        <v>1.4</v>
      </c>
      <c r="P72" s="6">
        <f t="shared" si="127"/>
        <v>1.6</v>
      </c>
      <c r="Q72" s="6">
        <f t="shared" si="127"/>
        <v>1.8</v>
      </c>
      <c r="R72" s="6">
        <f t="shared" si="127"/>
        <v>2</v>
      </c>
      <c r="S72" s="6">
        <f t="shared" si="127"/>
        <v>2.2</v>
      </c>
      <c r="T72" s="6">
        <f t="shared" si="127"/>
        <v>2.4</v>
      </c>
      <c r="U72" s="6">
        <f t="shared" si="127"/>
        <v>2.6</v>
      </c>
      <c r="V72" s="6">
        <f t="shared" si="127"/>
        <v>2.8</v>
      </c>
    </row>
  </sheetData>
  <conditionalFormatting sqref="L53">
    <cfRule type="colorScale" priority="4">
      <colorScale>
        <cfvo type="min"/>
        <cfvo type="max"/>
        <color theme="4"/>
        <color theme="4" tint="0.599993896298105"/>
      </colorScale>
    </cfRule>
  </conditionalFormatting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5"/>
      </colorScale>
    </cfRule>
    <cfRule type="colorScale" priority="2">
      <colorScale>
        <cfvo type="min"/>
        <cfvo type="max"/>
        <color theme="4" tint="0.599993896298105"/>
        <color theme="4"/>
      </colorScale>
    </cfRule>
    <cfRule type="colorScale" priority="1">
      <colorScale>
        <cfvo type="min"/>
        <cfvo type="max"/>
        <color theme="4" tint="0.799981688894314"/>
        <color theme="4"/>
      </colorScale>
    </cfRule>
  </conditionalFormatting>
  <pageMargins left="0.7" right="0.7" top="0.75" bottom="0.75" header="0.3" footer="0.3"/>
  <pageSetup paperSize="9" orientation="portrait"/>
  <headerFooter/>
  <ignoredErrors>
    <ignoredError sqref="AI8:AN8;I47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Лист1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Yaroslava</cp:lastModifiedBy>
  <dcterms:created xsi:type="dcterms:W3CDTF">2021-04-15T15:40:00Z</dcterms:created>
  <dcterms:modified xsi:type="dcterms:W3CDTF">2021-11-15T18:01:34Z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0BA216877A704F7B9BAF281C5EBE0CC8</vt:lpwstr>
  </property>
  <property fmtid="{D5CDD505-2E9C-101B-9397-08002B2CF9AE}" pid="3" name="KSOProductBuildVer">
    <vt:lpwstr>1049-11.2.0.10351</vt:lpwstr>
  </property>
</Properties>
</file>