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2368" windowHeight="9335" activeTab="2"/>
  </bookViews>
  <sheets>
    <sheet name="ГУ 1 рода" sheetId="1" r:id="rId1"/>
    <sheet name="ГУ 2 рода" sheetId="2" r:id="rId2"/>
    <sheet name="ГУ 3 рода" sheetId="3" r:id="rId3"/>
  </sheets>
  <calcPr calcId="144525"/>
</workbook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<sst xmlns="http://schemas.openxmlformats.org/spreadsheetml/2006/main" count="38" uniqueCount="15">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</sst>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>
  <numFmts count="6">
    <numFmt numFmtId="176" formatCode="_-* #,##0\ &quot;₽&quot;_-;\-* #,##0\ &quot;₽&quot;_-;_-* \-\ &quot;₽&quot;_-;_-@_-"/>
    <numFmt numFmtId="177" formatCode="_-* #,##0.00\ &quot;₽&quot;_-;\-* #,##0.00\ &quot;₽&quot;_-;_-* \-??\ &quot;₽&quot;_-;_-@_-"/>
    <numFmt numFmtId="41" formatCode="_-* #,##0_-;\-* #,##0_-;_-* &quot;-&quot;_-;_-@_-"/>
    <numFmt numFmtId="43" formatCode="_-* #,##0.00_-;\-* #,##0.00_-;_-* &quot;-&quot;??_-;_-@_-"/>
    <numFmt numFmtId="178" formatCode="0.000"/>
    <numFmt numFmtId="179" formatCode="0.0000"/>
  </numFmts>
  <fonts count="22">
    <font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0" fontId="10" fillId="7" borderId="0" applyNumberFormat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4" fillId="6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18" borderId="9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3" borderId="3" applyNumberFormat="0" applyAlignment="0" applyProtection="0">
      <alignment vertical="center"/>
    </xf>
    <xf numFmtId="0" fontId="19" fillId="22" borderId="10" applyNumberFormat="0" applyAlignment="0" applyProtection="0">
      <alignment vertical="center"/>
    </xf>
    <xf numFmtId="0" fontId="8" fillId="6" borderId="3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</cellStyleXfs>
  <cellXfs count="11">
    <xf numFmtId="0" fontId="0" fillId="0" borderId="0" xfId="0"/>
    <xf numFmtId="0" fontId="0" fillId="0" borderId="1" xfId="0" applyBorder="1" applyAlignment="1">
      <alignment horizontal="center"/>
    </xf>
    <xf numFmtId="17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79" fontId="0" fillId="0" borderId="1" xfId="0" applyNumberFormat="1" applyBorder="1"/>
    <xf numFmtId="178" fontId="0" fillId="0" borderId="1" xfId="0" applyNumberFormat="1" applyBorder="1" applyAlignment="1">
      <alignment horizontal="center"/>
    </xf>
    <xf numFmtId="178" fontId="0" fillId="0" borderId="0" xfId="0" applyNumberFormat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/>
  </cellXfs>
  <cellStyles count="49">
    <cellStyle name="Обычный" xfId="0" builtinId="0"/>
    <cellStyle name="20% — Акцент3" xfId="1" builtinId="38"/>
    <cellStyle name="Денежный [0]" xfId="2" builtinId="7"/>
    <cellStyle name="40% — Акцент5" xfId="3" builtinId="47"/>
    <cellStyle name="Хороший" xfId="4" builtinId="26"/>
    <cellStyle name="Запятая [0]" xfId="5" builtinId="6"/>
    <cellStyle name="Денежный" xfId="6" builtinId="4"/>
    <cellStyle name="Запятая" xfId="7" builtinId="3"/>
    <cellStyle name="40% — Акцент6" xfId="8" builtinId="51"/>
    <cellStyle name="Процент" xfId="9" builtinId="5"/>
    <cellStyle name="20% — Акцент2" xfId="10" builtinId="34"/>
    <cellStyle name="Итого" xfId="11" builtinId="25"/>
    <cellStyle name="Вывод" xfId="12" builtinId="21"/>
    <cellStyle name="Гиперссылка" xfId="13" builtinId="8"/>
    <cellStyle name="40% — Акцент4" xfId="14" builtinId="43"/>
    <cellStyle name="Открывавшаяся гиперссылка" xfId="15" builtinId="9"/>
    <cellStyle name="Примечание" xfId="16" builtinId="10"/>
    <cellStyle name="Предупреждающий текст" xfId="17" builtinId="11"/>
    <cellStyle name="Заголовок" xfId="18" builtinId="15"/>
    <cellStyle name="Пояснительный текст" xfId="19" builtinId="53"/>
    <cellStyle name="Заголовок 1" xfId="20" builtinId="16"/>
    <cellStyle name="Заголовок 2" xfId="21" builtinId="17"/>
    <cellStyle name="Заголовок 3" xfId="22" builtinId="18"/>
    <cellStyle name="Заголовок 4" xfId="23" builtinId="19"/>
    <cellStyle name="Ввод" xfId="24" builtinId="20"/>
    <cellStyle name="Проверить ячейку" xfId="25" builtinId="23"/>
    <cellStyle name="Вычисление" xfId="26" builtinId="22"/>
    <cellStyle name="Связанная ячейка" xfId="27" builtinId="24"/>
    <cellStyle name="Плохой" xfId="28" builtinId="27"/>
    <cellStyle name="Акцент5" xfId="29" builtinId="45"/>
    <cellStyle name="Нейтральный" xfId="30" builtinId="28"/>
    <cellStyle name="Акцент1" xfId="31" builtinId="29"/>
    <cellStyle name="20% — Акцент1" xfId="32" builtinId="30"/>
    <cellStyle name="40% — Акцент1" xfId="33" builtinId="31"/>
    <cellStyle name="20% — Акцент5" xfId="34" builtinId="46"/>
    <cellStyle name="60% — Акцент1" xfId="35" builtinId="32"/>
    <cellStyle name="Акцент2" xfId="36" builtinId="33"/>
    <cellStyle name="40% — Акцент2" xfId="37" builtinId="35"/>
    <cellStyle name="20% — Акцент6" xfId="38" builtinId="50"/>
    <cellStyle name="60% — Акцент2" xfId="39" builtinId="36"/>
    <cellStyle name="Акцент3" xfId="40" builtinId="37"/>
    <cellStyle name="40% — Акцент3" xfId="41" builtinId="39"/>
    <cellStyle name="60% — Акцент3" xfId="42" builtinId="40"/>
    <cellStyle name="Акцент4" xfId="43" builtinId="41"/>
    <cellStyle name="20% — Акцент4" xfId="44" builtinId="42"/>
    <cellStyle name="60% — Акцент4" xfId="45" builtinId="44"/>
    <cellStyle name="60% — Акцент5" xfId="46" builtinId="48"/>
    <cellStyle name="Акцент6" xfId="47" builtinId="49"/>
    <cellStyle name="60% — Акцент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</c:v>
                </c:pt>
                <c:pt idx="2">
                  <c:v>286.646214163441</c:v>
                </c:pt>
                <c:pt idx="3">
                  <c:v>279.969768181428</c:v>
                </c:pt>
                <c:pt idx="4">
                  <c:v>273.293322199414</c:v>
                </c:pt>
                <c:pt idx="5">
                  <c:v>266.617750556675</c:v>
                </c:pt>
                <c:pt idx="6">
                  <c:v>259.942178913935</c:v>
                </c:pt>
                <c:pt idx="7">
                  <c:v>253.267870800654</c:v>
                </c:pt>
                <c:pt idx="8">
                  <c:v>246.593562687373</c:v>
                </c:pt>
                <c:pt idx="9">
                  <c:v>239.920852071436</c:v>
                </c:pt>
                <c:pt idx="10">
                  <c:v>233.248141455499</c:v>
                </c:pt>
                <c:pt idx="11">
                  <c:v>226.57729248649</c:v>
                </c:pt>
                <c:pt idx="12">
                  <c:v>219.906443517482</c:v>
                </c:pt>
                <c:pt idx="13">
                  <c:v>213.237638982083</c:v>
                </c:pt>
                <c:pt idx="14">
                  <c:v>206.568834446685</c:v>
                </c:pt>
                <c:pt idx="15">
                  <c:v>199.902167780018</c:v>
                </c:pt>
                <c:pt idx="16">
                  <c:v>193.235501113352</c:v>
                </c:pt>
                <c:pt idx="17">
                  <c:v>186.570972315417</c:v>
                </c:pt>
                <c:pt idx="18">
                  <c:v>179.906443517483</c:v>
                </c:pt>
                <c:pt idx="19">
                  <c:v>173.243959153159</c:v>
                </c:pt>
                <c:pt idx="20">
                  <c:v>166.581474788834</c:v>
                </c:pt>
                <c:pt idx="21">
                  <c:v>159.920852071438</c:v>
                </c:pt>
                <c:pt idx="22">
                  <c:v>153.260229354043</c:v>
                </c:pt>
                <c:pt idx="23">
                  <c:v>146.60120413399</c:v>
                </c:pt>
                <c:pt idx="24">
                  <c:v>139.942178913937</c:v>
                </c:pt>
                <c:pt idx="25">
                  <c:v>133.284417223343</c:v>
                </c:pt>
                <c:pt idx="26">
                  <c:v>126.626655532749</c:v>
                </c:pt>
                <c:pt idx="27">
                  <c:v>119.969768181429</c:v>
                </c:pt>
                <c:pt idx="28">
                  <c:v>113.312880830108</c:v>
                </c:pt>
                <c:pt idx="29">
                  <c:v>106.656440415054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2752"/>
        <c:axId val="442579224"/>
      </c:scatterChart>
      <c:valAx>
        <c:axId val="4425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79224"/>
        <c:crosses val="autoZero"/>
        <c:crossBetween val="midCat"/>
      </c:valAx>
      <c:valAx>
        <c:axId val="442579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82752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7"/>
          <c:y val="0.030964491770926"/>
          <c:w val="0.797991418298911"/>
          <c:h val="0.850702928013132"/>
        </c:manualLayout>
      </c:layout>
      <c:scatterChart>
        <c:scatterStyle val="smooth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293.333333333333</c:v>
                </c:pt>
                <c:pt idx="2">
                  <c:v>286.666666666666</c:v>
                </c:pt>
                <c:pt idx="3">
                  <c:v>279.999999999999</c:v>
                </c:pt>
                <c:pt idx="4">
                  <c:v>273.333333333332</c:v>
                </c:pt>
                <c:pt idx="5">
                  <c:v>266.666666666665</c:v>
                </c:pt>
                <c:pt idx="6">
                  <c:v>259.999999999998</c:v>
                </c:pt>
                <c:pt idx="7">
                  <c:v>253.333333333331</c:v>
                </c:pt>
                <c:pt idx="8">
                  <c:v>246.666666666665</c:v>
                </c:pt>
                <c:pt idx="9">
                  <c:v>239.999999999998</c:v>
                </c:pt>
                <c:pt idx="10">
                  <c:v>233.333333333331</c:v>
                </c:pt>
                <c:pt idx="11">
                  <c:v>226.666666666664</c:v>
                </c:pt>
                <c:pt idx="12">
                  <c:v>219.999999999998</c:v>
                </c:pt>
                <c:pt idx="13">
                  <c:v>213.333333333331</c:v>
                </c:pt>
                <c:pt idx="14">
                  <c:v>206.666666666664</c:v>
                </c:pt>
                <c:pt idx="15">
                  <c:v>199.999999999998</c:v>
                </c:pt>
                <c:pt idx="16">
                  <c:v>193.333333333331</c:v>
                </c:pt>
                <c:pt idx="17">
                  <c:v>186.666666666665</c:v>
                </c:pt>
                <c:pt idx="18">
                  <c:v>179.999999999998</c:v>
                </c:pt>
                <c:pt idx="19">
                  <c:v>173.333333333331</c:v>
                </c:pt>
                <c:pt idx="20">
                  <c:v>166.666666666665</c:v>
                </c:pt>
                <c:pt idx="21">
                  <c:v>159.999999999998</c:v>
                </c:pt>
                <c:pt idx="22">
                  <c:v>153.333333333332</c:v>
                </c:pt>
                <c:pt idx="23">
                  <c:v>146.666666666665</c:v>
                </c:pt>
                <c:pt idx="24">
                  <c:v>139.999999999999</c:v>
                </c:pt>
                <c:pt idx="25">
                  <c:v>133.333333333332</c:v>
                </c:pt>
                <c:pt idx="26">
                  <c:v>126.666666666666</c:v>
                </c:pt>
                <c:pt idx="27">
                  <c:v>119.999999999999</c:v>
                </c:pt>
                <c:pt idx="28">
                  <c:v>113.333333333333</c:v>
                </c:pt>
                <c:pt idx="29">
                  <c:v>106.666666666666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0792"/>
        <c:axId val="442581576"/>
      </c:scatterChart>
      <c:valAx>
        <c:axId val="442580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81576"/>
        <c:crosses val="autoZero"/>
        <c:crossBetween val="midCat"/>
      </c:valAx>
      <c:valAx>
        <c:axId val="44258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8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142326325596"/>
          <c:y val="0.0304972909119994"/>
          <c:w val="0.83031245788653"/>
          <c:h val="0.893139020244686"/>
        </c:manualLayout>
      </c:layout>
      <c:scatterChart>
        <c:scatterStyle val="smooth"/>
        <c:varyColors val="0"/>
        <c:ser>
          <c:idx val="0"/>
          <c:order val="0"/>
          <c:spPr>
            <a:ln w="2222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'ГУ 3 рода'!$F$12:$AJ$12</c:f>
              <c:numCache>
                <c:formatCode>General</c:formatCode>
                <c:ptCount val="31"/>
                <c:pt idx="0">
                  <c:v>0</c:v>
                </c:pt>
                <c:pt idx="1" c:formatCode="0.0000">
                  <c:v>0.00333333333333333</c:v>
                </c:pt>
                <c:pt idx="2" c:formatCode="0.0000">
                  <c:v>0.00666666666666667</c:v>
                </c:pt>
                <c:pt idx="3" c:formatCode="0.0000">
                  <c:v>0.01</c:v>
                </c:pt>
                <c:pt idx="4" c:formatCode="0.0000">
                  <c:v>0.0133333333333333</c:v>
                </c:pt>
                <c:pt idx="5" c:formatCode="0.0000">
                  <c:v>0.0166666666666667</c:v>
                </c:pt>
                <c:pt idx="6" c:formatCode="0.0000">
                  <c:v>0.02</c:v>
                </c:pt>
                <c:pt idx="7" c:formatCode="0.0000">
                  <c:v>0.0233333333333333</c:v>
                </c:pt>
                <c:pt idx="8" c:formatCode="0.0000">
                  <c:v>0.0266666666666667</c:v>
                </c:pt>
                <c:pt idx="9" c:formatCode="0.0000">
                  <c:v>0.03</c:v>
                </c:pt>
                <c:pt idx="10" c:formatCode="0.0000">
                  <c:v>0.0333333333333333</c:v>
                </c:pt>
                <c:pt idx="11" c:formatCode="0.0000">
                  <c:v>0.0366666666666667</c:v>
                </c:pt>
                <c:pt idx="12" c:formatCode="0.0000">
                  <c:v>0.04</c:v>
                </c:pt>
                <c:pt idx="13" c:formatCode="0.0000">
                  <c:v>0.0433333333333333</c:v>
                </c:pt>
                <c:pt idx="14" c:formatCode="0.0000">
                  <c:v>0.0466666666666667</c:v>
                </c:pt>
                <c:pt idx="15" c:formatCode="0.0000">
                  <c:v>0.05</c:v>
                </c:pt>
                <c:pt idx="16" c:formatCode="0.0000">
                  <c:v>0.0533333333333333</c:v>
                </c:pt>
                <c:pt idx="17" c:formatCode="0.0000">
                  <c:v>0.0566666666666667</c:v>
                </c:pt>
                <c:pt idx="18" c:formatCode="0.0000">
                  <c:v>0.06</c:v>
                </c:pt>
                <c:pt idx="19" c:formatCode="0.0000">
                  <c:v>0.0633333333333333</c:v>
                </c:pt>
                <c:pt idx="20" c:formatCode="0.0000">
                  <c:v>0.0666666666666667</c:v>
                </c:pt>
                <c:pt idx="21" c:formatCode="0.0000">
                  <c:v>0.07</c:v>
                </c:pt>
                <c:pt idx="22" c:formatCode="0.0000">
                  <c:v>0.0733333333333333</c:v>
                </c:pt>
                <c:pt idx="23" c:formatCode="0.0000">
                  <c:v>0.0766666666666666</c:v>
                </c:pt>
                <c:pt idx="24" c:formatCode="0.0000">
                  <c:v>0.08</c:v>
                </c:pt>
                <c:pt idx="25" c:formatCode="0.0000">
                  <c:v>0.0833333333333333</c:v>
                </c:pt>
                <c:pt idx="26" c:formatCode="0.0000">
                  <c:v>0.0866666666666666</c:v>
                </c:pt>
                <c:pt idx="27" c:formatCode="0.0000">
                  <c:v>0.09</c:v>
                </c:pt>
                <c:pt idx="28" c:formatCode="0.0000">
                  <c:v>0.0933333333333333</c:v>
                </c:pt>
                <c:pt idx="29" c:formatCode="0.0000">
                  <c:v>0.0966666666666666</c:v>
                </c:pt>
                <c:pt idx="30" c:formatCode="0.0000">
                  <c:v>0.0999999999999999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953.102505893685</c:v>
                </c:pt>
                <c:pt idx="1">
                  <c:v>957.835132747987</c:v>
                </c:pt>
                <c:pt idx="2">
                  <c:v>962.581202648177</c:v>
                </c:pt>
                <c:pt idx="3">
                  <c:v>967.340767896073</c:v>
                </c:pt>
                <c:pt idx="4">
                  <c:v>972.113836229338</c:v>
                </c:pt>
                <c:pt idx="5">
                  <c:v>976.900370757474</c:v>
                </c:pt>
                <c:pt idx="6">
                  <c:v>981.700290140781</c:v>
                </c:pt>
                <c:pt idx="7">
                  <c:v>986.513468783933</c:v>
                </c:pt>
                <c:pt idx="8">
                  <c:v>991.339737343127</c:v>
                </c:pt>
                <c:pt idx="9">
                  <c:v>996.178883177073</c:v>
                </c:pt>
                <c:pt idx="10">
                  <c:v>1001.03065117269</c:v>
                </c:pt>
                <c:pt idx="11">
                  <c:v>1005.89474445104</c:v>
                </c:pt>
                <c:pt idx="12">
                  <c:v>1010.7708254967</c:v>
                </c:pt>
                <c:pt idx="13">
                  <c:v>1015.6585171137</c:v>
                </c:pt>
                <c:pt idx="14">
                  <c:v>1020.55740383893</c:v>
                </c:pt>
                <c:pt idx="15">
                  <c:v>1025.46703314054</c:v>
                </c:pt>
                <c:pt idx="16">
                  <c:v>1030.38691709131</c:v>
                </c:pt>
                <c:pt idx="17">
                  <c:v>1035.31653379931</c:v>
                </c:pt>
                <c:pt idx="18">
                  <c:v>1040.25532931349</c:v>
                </c:pt>
                <c:pt idx="19">
                  <c:v>1045.20271927336</c:v>
                </c:pt>
                <c:pt idx="20">
                  <c:v>1050.15809101588</c:v>
                </c:pt>
                <c:pt idx="21">
                  <c:v>1055.12080542828</c:v>
                </c:pt>
                <c:pt idx="22">
                  <c:v>1060.09019922262</c:v>
                </c:pt>
                <c:pt idx="23">
                  <c:v>1065.06558697277</c:v>
                </c:pt>
                <c:pt idx="24">
                  <c:v>1070.04626352148</c:v>
                </c:pt>
                <c:pt idx="25">
                  <c:v>1075.0315061795</c:v>
                </c:pt>
                <c:pt idx="26">
                  <c:v>1080.02057722879</c:v>
                </c:pt>
                <c:pt idx="27">
                  <c:v>1085.01272625896</c:v>
                </c:pt>
                <c:pt idx="28">
                  <c:v>1090.00719272983</c:v>
                </c:pt>
                <c:pt idx="29">
                  <c:v>1095.00320841754</c:v>
                </c:pt>
                <c:pt idx="30">
                  <c:v>1100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1968"/>
        <c:axId val="442583144"/>
      </c:scatterChart>
      <c:valAx>
        <c:axId val="442581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83144"/>
        <c:crosses val="autoZero"/>
        <c:crossBetween val="midCat"/>
      </c:valAx>
      <c:valAx>
        <c:axId val="442583144"/>
        <c:scaling>
          <c:orientation val="minMax"/>
          <c:max val="125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258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>
      <xdr:nvGraphicFramePr>
        <xdr:cNvPr id="2" name="Диаграмма 1"/>
        <xdr:cNvGraphicFramePr/>
      </xdr:nvGraphicFramePr>
      <xdr:xfrm>
        <a:off x="5048250" y="2896870"/>
        <a:ext cx="4903470" cy="433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>
      <xdr:nvSpPr>
        <xdr:cNvPr id="3" name="TextBox 2"/>
        <xdr:cNvSpPr txBox="1"/>
      </xdr:nvSpPr>
      <xdr:spPr>
        <a:xfrm>
          <a:off x="5128260" y="2972435"/>
          <a:ext cx="471170" cy="3397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>
          <xdr:nvSpPr>
            <xdr:cNvPr id="4" name="TextBox 3"/>
            <xdr:cNvSpPr txBox="1"/>
          </xdr:nvSpPr>
          <xdr:spPr>
            <a:xfrm>
              <a:off x="9264015" y="6891655"/>
              <a:ext cx="706120" cy="28194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>
        <xdr:sp>
          <xdr:nvSpPr>
            <xdr:cNvPr id="4" name="TextBox 3"/>
            <xdr:cNvSpPr txBox="1"/>
          </xdr:nvSpPr>
          <xdr:spPr>
            <a:xfrm>
              <a:off x="9264015" y="6891655"/>
              <a:ext cx="706120" cy="28194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>
                  <a:latin typeface="Cambria Math" panose="02040503050406030204" pitchFamily="18" charset="0"/>
                </a:rPr>
                <a:t>𝑳</a:t>
              </a:r>
              <a:r>
                <a:rPr lang="en-US" sz="1800" b="1">
                  <a:latin typeface="Cambria Math" panose="02040503050406030204" pitchFamily="18" charset="0"/>
                </a:rPr>
                <a:t>,[</a:t>
              </a:r>
              <a:r>
                <a:rPr lang="en-US" sz="1800" b="1">
                  <a:latin typeface="Cambria Math" panose="02040503050406030204" pitchFamily="18" charset="0"/>
                </a:rPr>
                <a:t>𝑪</a:t>
              </a:r>
              <a:r>
                <a:rPr lang="en-US" sz="1800" b="1">
                  <a:latin typeface="Cambria Math" panose="02040503050406030204" pitchFamily="18" charset="0"/>
                </a:rPr>
                <a:t>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>
      <xdr:nvGraphicFramePr>
        <xdr:cNvPr id="2" name="Диаграмма 1"/>
        <xdr:cNvGraphicFramePr/>
      </xdr:nvGraphicFramePr>
      <xdr:xfrm>
        <a:off x="4560570" y="3307080"/>
        <a:ext cx="4755515" cy="37623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>
      <xdr:nvSpPr>
        <xdr:cNvPr id="4" name="TextBox 3"/>
        <xdr:cNvSpPr txBox="1"/>
      </xdr:nvSpPr>
      <xdr:spPr>
        <a:xfrm>
          <a:off x="4618990" y="3341370"/>
          <a:ext cx="471170" cy="340360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>
          <xdr:nvSpPr>
            <xdr:cNvPr id="6" name="TextBox 5"/>
            <xdr:cNvSpPr txBox="1"/>
          </xdr:nvSpPr>
          <xdr:spPr>
            <a:xfrm>
              <a:off x="8592820" y="6724015"/>
              <a:ext cx="706120" cy="281305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>
        <xdr:sp>
          <xdr:nvSpPr>
            <xdr:cNvPr id="6" name="TextBox 5"/>
            <xdr:cNvSpPr txBox="1"/>
          </xdr:nvSpPr>
          <xdr:spPr>
            <a:xfrm>
              <a:off x="8592820" y="6724015"/>
              <a:ext cx="706120" cy="281305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defRPr/>
              </a:pP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,[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𝑪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>
          <a:schemeClr val="bg1"/>
        </a:solidFill>
        <a:ln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 xmlns:a="http://schemas.openxmlformats.org/drawingml/2006/main">
        <a:bodyPr wrap="square" lIns="0" tIns="0" rIns="0" bIns="0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238125</xdr:colOff>
      <xdr:row>17</xdr:row>
      <xdr:rowOff>104775</xdr:rowOff>
    </xdr:from>
    <xdr:to>
      <xdr:col>17</xdr:col>
      <xdr:colOff>519112</xdr:colOff>
      <xdr:row>42</xdr:row>
      <xdr:rowOff>150019</xdr:rowOff>
    </xdr:to>
    <xdr:graphicFrame>
      <xdr:nvGraphicFramePr>
        <xdr:cNvPr id="2" name="Диаграмма 1"/>
        <xdr:cNvGraphicFramePr/>
      </xdr:nvGraphicFramePr>
      <xdr:xfrm>
        <a:off x="5213985" y="3213735"/>
        <a:ext cx="5835650" cy="46170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247650</xdr:colOff>
      <xdr:row>16</xdr:row>
      <xdr:rowOff>142875</xdr:rowOff>
    </xdr:from>
    <xdr:ext cx="504825" cy="381000"/>
    <xdr:sp>
      <xdr:nvSpPr>
        <xdr:cNvPr id="4" name="TextBox 3"/>
        <xdr:cNvSpPr txBox="1"/>
      </xdr:nvSpPr>
      <xdr:spPr>
        <a:xfrm>
          <a:off x="5840730" y="3068955"/>
          <a:ext cx="504825" cy="381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207168</xdr:colOff>
      <xdr:row>42</xdr:row>
      <xdr:rowOff>28575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>
          <xdr:nvSpPr>
            <xdr:cNvPr id="6" name="TextBox 5"/>
            <xdr:cNvSpPr txBox="1"/>
          </xdr:nvSpPr>
          <xdr:spPr>
            <a:xfrm>
              <a:off x="7651750" y="7709535"/>
              <a:ext cx="705485" cy="28130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>
        <xdr:sp>
          <xdr:nvSpPr>
            <xdr:cNvPr id="6" name="TextBox 5"/>
            <xdr:cNvSpPr txBox="1"/>
          </xdr:nvSpPr>
          <xdr:spPr>
            <a:xfrm>
              <a:off x="7651750" y="7709535"/>
              <a:ext cx="705485" cy="28130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defRPr/>
              </a:pP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,[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𝑪</a:t>
              </a:r>
              <a:r>
                <a:rPr kumimoji="0" lang="en-US" sz="18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B3:AJ29"/>
  <sheetViews>
    <sheetView zoomScale="70" zoomScaleNormal="70" workbookViewId="0">
      <selection activeCell="F13" sqref="F13"/>
    </sheetView>
  </sheetViews>
  <sheetFormatPr defaultColWidth="9" defaultRowHeight="14.4"/>
  <cols>
    <col min="3" max="3" width="9.55555555555556" customWidth="1"/>
    <col min="6" max="36" width="7.11111111111111" customWidth="1"/>
  </cols>
  <sheetData>
    <row r="3" spans="2:3">
      <c r="B3" s="1" t="s">
        <v>0</v>
      </c>
      <c r="C3" s="1">
        <v>0.1</v>
      </c>
    </row>
    <row r="4" spans="2:3">
      <c r="B4" s="1" t="s">
        <v>1</v>
      </c>
      <c r="C4" s="6">
        <f>C3/30</f>
        <v>0.00333333333333333</v>
      </c>
    </row>
    <row r="5" spans="2:3">
      <c r="B5" s="1" t="s">
        <v>2</v>
      </c>
      <c r="C5" s="6">
        <f>(C9*C8*C4^2)/(2*C10)</f>
        <v>0.433333333333333</v>
      </c>
    </row>
    <row r="6" spans="2:4">
      <c r="B6" s="1" t="s">
        <v>3</v>
      </c>
      <c r="C6" s="1">
        <v>500</v>
      </c>
      <c r="D6">
        <v>500.066666666667</v>
      </c>
    </row>
    <row r="7" spans="2:3">
      <c r="B7" s="8"/>
      <c r="C7" s="8"/>
    </row>
    <row r="8" spans="2:3">
      <c r="B8" s="1" t="s">
        <v>4</v>
      </c>
      <c r="C8" s="1">
        <v>460</v>
      </c>
    </row>
    <row r="9" spans="2:3">
      <c r="B9" s="9" t="s">
        <v>5</v>
      </c>
      <c r="C9" s="9">
        <v>7800</v>
      </c>
    </row>
    <row r="10" spans="2:3">
      <c r="B10" s="1" t="s">
        <v>6</v>
      </c>
      <c r="C10" s="1">
        <v>46</v>
      </c>
    </row>
    <row r="11" spans="2:36">
      <c r="B11" s="8"/>
      <c r="C11" s="8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2">
        <v>0</v>
      </c>
      <c r="G12" s="2">
        <f>F12+$C$4</f>
        <v>0.00333333333333333</v>
      </c>
      <c r="H12" s="2">
        <f t="shared" ref="H12:AJ12" si="0">G12+$C$4</f>
        <v>0.00666666666666667</v>
      </c>
      <c r="I12" s="2">
        <f t="shared" si="0"/>
        <v>0.01</v>
      </c>
      <c r="J12" s="2">
        <f t="shared" si="0"/>
        <v>0.0133333333333333</v>
      </c>
      <c r="K12" s="2">
        <f t="shared" si="0"/>
        <v>0.0166666666666667</v>
      </c>
      <c r="L12" s="2">
        <f t="shared" si="0"/>
        <v>0.02</v>
      </c>
      <c r="M12" s="2">
        <f t="shared" si="0"/>
        <v>0.0233333333333333</v>
      </c>
      <c r="N12" s="2">
        <f t="shared" si="0"/>
        <v>0.0266666666666667</v>
      </c>
      <c r="O12" s="2">
        <f t="shared" si="0"/>
        <v>0.03</v>
      </c>
      <c r="P12" s="2">
        <f t="shared" si="0"/>
        <v>0.0333333333333333</v>
      </c>
      <c r="Q12" s="2">
        <f t="shared" si="0"/>
        <v>0.0366666666666667</v>
      </c>
      <c r="R12" s="2">
        <f t="shared" si="0"/>
        <v>0.04</v>
      </c>
      <c r="S12" s="2">
        <f t="shared" si="0"/>
        <v>0.0433333333333333</v>
      </c>
      <c r="T12" s="2">
        <f t="shared" si="0"/>
        <v>0.0466666666666667</v>
      </c>
      <c r="U12" s="2">
        <f t="shared" si="0"/>
        <v>0.05</v>
      </c>
      <c r="V12" s="2">
        <f t="shared" si="0"/>
        <v>0.0533333333333333</v>
      </c>
      <c r="W12" s="2">
        <f t="shared" si="0"/>
        <v>0.0566666666666667</v>
      </c>
      <c r="X12" s="2">
        <f t="shared" si="0"/>
        <v>0.06</v>
      </c>
      <c r="Y12" s="2">
        <f t="shared" si="0"/>
        <v>0.0633333333333333</v>
      </c>
      <c r="Z12" s="2">
        <f t="shared" si="0"/>
        <v>0.0666666666666667</v>
      </c>
      <c r="AA12" s="2">
        <f t="shared" si="0"/>
        <v>0.07</v>
      </c>
      <c r="AB12" s="2">
        <f t="shared" si="0"/>
        <v>0.0733333333333333</v>
      </c>
      <c r="AC12" s="2">
        <f t="shared" si="0"/>
        <v>0.0766666666666666</v>
      </c>
      <c r="AD12" s="2">
        <f t="shared" si="0"/>
        <v>0.08</v>
      </c>
      <c r="AE12" s="2">
        <f t="shared" si="0"/>
        <v>0.0833333333333333</v>
      </c>
      <c r="AF12" s="2">
        <f t="shared" si="0"/>
        <v>0.0866666666666666</v>
      </c>
      <c r="AG12" s="2">
        <f t="shared" si="0"/>
        <v>0.09</v>
      </c>
      <c r="AH12" s="2">
        <f t="shared" si="0"/>
        <v>0.0933333333333333</v>
      </c>
      <c r="AI12" s="2">
        <f t="shared" si="0"/>
        <v>0.0966666666666666</v>
      </c>
      <c r="AJ12" s="2">
        <f t="shared" si="0"/>
        <v>0.0999999999999999</v>
      </c>
    </row>
    <row r="13" spans="2:36">
      <c r="B13" s="1" t="s">
        <v>8</v>
      </c>
      <c r="C13" s="1">
        <v>100</v>
      </c>
      <c r="E13" t="s">
        <v>9</v>
      </c>
      <c r="F13" s="3">
        <f>C12</f>
        <v>300</v>
      </c>
      <c r="G13" s="3">
        <v>293.32310708172</v>
      </c>
      <c r="H13" s="3">
        <v>286.646214163441</v>
      </c>
      <c r="I13" s="3">
        <v>279.969768181428</v>
      </c>
      <c r="J13" s="3">
        <v>273.293322199414</v>
      </c>
      <c r="K13" s="3">
        <v>266.617750556675</v>
      </c>
      <c r="L13" s="3">
        <v>259.942178913935</v>
      </c>
      <c r="M13" s="3">
        <v>253.267870800654</v>
      </c>
      <c r="N13" s="3">
        <v>246.593562687373</v>
      </c>
      <c r="O13" s="3">
        <v>239.920852071436</v>
      </c>
      <c r="P13" s="3">
        <v>233.248141455499</v>
      </c>
      <c r="Q13" s="3">
        <v>226.57729248649</v>
      </c>
      <c r="R13" s="3">
        <v>219.906443517482</v>
      </c>
      <c r="S13" s="3">
        <v>213.237638982083</v>
      </c>
      <c r="T13" s="3">
        <v>206.568834446685</v>
      </c>
      <c r="U13" s="3">
        <v>199.902167780018</v>
      </c>
      <c r="V13" s="3">
        <v>193.235501113352</v>
      </c>
      <c r="W13" s="3">
        <v>186.570972315417</v>
      </c>
      <c r="X13" s="3">
        <v>179.906443517483</v>
      </c>
      <c r="Y13" s="3">
        <v>173.243959153159</v>
      </c>
      <c r="Z13" s="3">
        <v>166.581474788834</v>
      </c>
      <c r="AA13" s="3">
        <v>159.920852071438</v>
      </c>
      <c r="AB13" s="3">
        <v>153.260229354043</v>
      </c>
      <c r="AC13" s="3">
        <v>146.60120413399</v>
      </c>
      <c r="AD13" s="3">
        <v>139.942178913937</v>
      </c>
      <c r="AE13" s="3">
        <v>133.284417223343</v>
      </c>
      <c r="AF13" s="3">
        <v>126.626655532749</v>
      </c>
      <c r="AG13" s="3">
        <v>119.969768181429</v>
      </c>
      <c r="AH13" s="3">
        <v>113.312880830108</v>
      </c>
      <c r="AI13" s="3">
        <v>106.656440415054</v>
      </c>
      <c r="AJ13" s="3">
        <f>C13</f>
        <v>100</v>
      </c>
    </row>
    <row r="15" spans="5:35">
      <c r="E15" t="s">
        <v>10</v>
      </c>
      <c r="G15">
        <f>G13+(($C$10*$C$5)/($C$9*$C$8))*((H13-2*G13+F13)/($C$4^2))</f>
        <v>293.32310708172</v>
      </c>
      <c r="H15">
        <f t="shared" ref="H15:AI15" si="1">H13+(($C$10*$C$5)/($C$9*$C$8))*((I13-2*H13+G13)/($C$4^2))</f>
        <v>286.646437631574</v>
      </c>
      <c r="I15">
        <f t="shared" si="1"/>
        <v>279.969768181428</v>
      </c>
      <c r="J15">
        <f t="shared" si="1"/>
        <v>273.293759369051</v>
      </c>
      <c r="K15">
        <f t="shared" si="1"/>
        <v>266.617750556675</v>
      </c>
      <c r="L15">
        <f t="shared" si="1"/>
        <v>259.942810678665</v>
      </c>
      <c r="M15">
        <f t="shared" si="1"/>
        <v>253.267870800654</v>
      </c>
      <c r="N15">
        <f t="shared" si="1"/>
        <v>246.594361436045</v>
      </c>
      <c r="O15">
        <f t="shared" si="1"/>
        <v>239.920852071436</v>
      </c>
      <c r="P15">
        <f t="shared" si="1"/>
        <v>233.249072278963</v>
      </c>
      <c r="Q15">
        <f t="shared" si="1"/>
        <v>226.57729248649</v>
      </c>
      <c r="R15">
        <f t="shared" si="1"/>
        <v>219.907465734287</v>
      </c>
      <c r="S15">
        <f t="shared" si="1"/>
        <v>213.237638982083</v>
      </c>
      <c r="T15">
        <f t="shared" si="1"/>
        <v>206.569903381051</v>
      </c>
      <c r="U15">
        <f t="shared" si="1"/>
        <v>199.902167780018</v>
      </c>
      <c r="V15">
        <f t="shared" si="1"/>
        <v>193.236570047718</v>
      </c>
      <c r="W15">
        <f t="shared" si="1"/>
        <v>186.570972315417</v>
      </c>
      <c r="X15">
        <f t="shared" si="1"/>
        <v>179.907465734288</v>
      </c>
      <c r="Y15">
        <f t="shared" si="1"/>
        <v>173.243959153159</v>
      </c>
      <c r="Z15">
        <f t="shared" si="1"/>
        <v>166.582405612299</v>
      </c>
      <c r="AA15">
        <f t="shared" si="1"/>
        <v>159.920852071438</v>
      </c>
      <c r="AB15">
        <f t="shared" si="1"/>
        <v>153.261028102714</v>
      </c>
      <c r="AC15">
        <f t="shared" si="1"/>
        <v>146.60120413399</v>
      </c>
      <c r="AD15">
        <f t="shared" si="1"/>
        <v>139.942810678667</v>
      </c>
      <c r="AE15">
        <f t="shared" si="1"/>
        <v>133.284417223343</v>
      </c>
      <c r="AF15">
        <f t="shared" si="1"/>
        <v>126.627092702386</v>
      </c>
      <c r="AG15">
        <f t="shared" si="1"/>
        <v>119.969768181429</v>
      </c>
      <c r="AH15">
        <f t="shared" si="1"/>
        <v>113.313104298242</v>
      </c>
      <c r="AI15">
        <f t="shared" si="1"/>
        <v>106.656440415054</v>
      </c>
    </row>
    <row r="29" ht="15.6" spans="21:21">
      <c r="U29" s="10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B3:AJ16"/>
  <sheetViews>
    <sheetView zoomScale="70" zoomScaleNormal="70" workbookViewId="0">
      <selection activeCell="D6" sqref="D6"/>
    </sheetView>
  </sheetViews>
  <sheetFormatPr defaultColWidth="9" defaultRowHeight="14.4"/>
  <cols>
    <col min="3" max="3" width="9.55555555555556" customWidth="1"/>
  </cols>
  <sheetData>
    <row r="3" spans="2:3">
      <c r="B3" s="1" t="s">
        <v>0</v>
      </c>
      <c r="C3" s="1">
        <v>0.1</v>
      </c>
    </row>
    <row r="4" spans="2:3">
      <c r="B4" s="1" t="s">
        <v>1</v>
      </c>
      <c r="C4" s="6">
        <f>C3/30</f>
        <v>0.00333333333333333</v>
      </c>
    </row>
    <row r="5" spans="2:3">
      <c r="B5" s="1" t="s">
        <v>2</v>
      </c>
      <c r="C5" s="6">
        <f>(C9*C8*C4^2)/(2*C10)</f>
        <v>0.433333333333333</v>
      </c>
    </row>
    <row r="6" spans="2:4">
      <c r="B6" s="1" t="s">
        <v>3</v>
      </c>
      <c r="C6" s="1">
        <v>5000</v>
      </c>
      <c r="D6" s="7">
        <v>5000</v>
      </c>
    </row>
    <row r="7" spans="2:3">
      <c r="B7" s="3"/>
      <c r="C7" s="3"/>
    </row>
    <row r="8" spans="2:3">
      <c r="B8" s="1" t="s">
        <v>4</v>
      </c>
      <c r="C8" s="1">
        <v>460</v>
      </c>
    </row>
    <row r="9" spans="2:3">
      <c r="B9" s="1" t="s">
        <v>5</v>
      </c>
      <c r="C9" s="1">
        <v>7800</v>
      </c>
    </row>
    <row r="10" spans="2:3">
      <c r="B10" s="1" t="s">
        <v>6</v>
      </c>
      <c r="C10" s="1">
        <v>46</v>
      </c>
    </row>
    <row r="11" spans="2:36">
      <c r="B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11</v>
      </c>
      <c r="C12" s="1">
        <v>9200</v>
      </c>
      <c r="E12" t="s">
        <v>0</v>
      </c>
      <c r="F12" s="2">
        <v>0</v>
      </c>
      <c r="G12" s="2">
        <f>F12+$C$4</f>
        <v>0.00333333333333333</v>
      </c>
      <c r="H12" s="2">
        <f t="shared" ref="H12:AJ12" si="0">G12+$C$4</f>
        <v>0.00666666666666667</v>
      </c>
      <c r="I12" s="2">
        <f t="shared" si="0"/>
        <v>0.01</v>
      </c>
      <c r="J12" s="2">
        <f t="shared" si="0"/>
        <v>0.0133333333333333</v>
      </c>
      <c r="K12" s="2">
        <f t="shared" si="0"/>
        <v>0.0166666666666667</v>
      </c>
      <c r="L12" s="2">
        <f t="shared" si="0"/>
        <v>0.02</v>
      </c>
      <c r="M12" s="2">
        <f t="shared" si="0"/>
        <v>0.0233333333333333</v>
      </c>
      <c r="N12" s="2">
        <f t="shared" si="0"/>
        <v>0.0266666666666667</v>
      </c>
      <c r="O12" s="2">
        <f t="shared" si="0"/>
        <v>0.03</v>
      </c>
      <c r="P12" s="2">
        <f t="shared" si="0"/>
        <v>0.0333333333333333</v>
      </c>
      <c r="Q12" s="2">
        <f t="shared" si="0"/>
        <v>0.0366666666666667</v>
      </c>
      <c r="R12" s="2">
        <f t="shared" si="0"/>
        <v>0.04</v>
      </c>
      <c r="S12" s="2">
        <f t="shared" si="0"/>
        <v>0.0433333333333333</v>
      </c>
      <c r="T12" s="2">
        <f t="shared" si="0"/>
        <v>0.0466666666666667</v>
      </c>
      <c r="U12" s="2">
        <f t="shared" si="0"/>
        <v>0.05</v>
      </c>
      <c r="V12" s="2">
        <f t="shared" si="0"/>
        <v>0.0533333333333333</v>
      </c>
      <c r="W12" s="2">
        <f t="shared" si="0"/>
        <v>0.0566666666666667</v>
      </c>
      <c r="X12" s="2">
        <f t="shared" si="0"/>
        <v>0.06</v>
      </c>
      <c r="Y12" s="2">
        <f t="shared" si="0"/>
        <v>0.0633333333333333</v>
      </c>
      <c r="Z12" s="2">
        <f t="shared" si="0"/>
        <v>0.0666666666666667</v>
      </c>
      <c r="AA12" s="2">
        <f t="shared" si="0"/>
        <v>0.07</v>
      </c>
      <c r="AB12" s="2">
        <f t="shared" si="0"/>
        <v>0.0733333333333333</v>
      </c>
      <c r="AC12" s="2">
        <f t="shared" si="0"/>
        <v>0.0766666666666666</v>
      </c>
      <c r="AD12" s="2">
        <f t="shared" si="0"/>
        <v>0.08</v>
      </c>
      <c r="AE12" s="2">
        <f t="shared" si="0"/>
        <v>0.0833333333333333</v>
      </c>
      <c r="AF12" s="2">
        <f t="shared" si="0"/>
        <v>0.0866666666666666</v>
      </c>
      <c r="AG12" s="2">
        <f t="shared" si="0"/>
        <v>0.09</v>
      </c>
      <c r="AH12" s="2">
        <f t="shared" si="0"/>
        <v>0.0933333333333333</v>
      </c>
      <c r="AI12" s="2">
        <f t="shared" si="0"/>
        <v>0.0966666666666666</v>
      </c>
      <c r="AJ12" s="2">
        <f t="shared" si="0"/>
        <v>0.0999999999999999</v>
      </c>
    </row>
    <row r="13" spans="2:36">
      <c r="B13" s="1" t="s">
        <v>8</v>
      </c>
      <c r="C13" s="1">
        <v>100</v>
      </c>
      <c r="E13" t="s">
        <v>9</v>
      </c>
      <c r="F13" s="3">
        <v>300</v>
      </c>
      <c r="G13" s="3">
        <v>293.333333333333</v>
      </c>
      <c r="H13" s="3">
        <v>286.666666666666</v>
      </c>
      <c r="I13" s="3">
        <v>279.999999999999</v>
      </c>
      <c r="J13" s="3">
        <v>273.333333333332</v>
      </c>
      <c r="K13" s="3">
        <v>266.666666666665</v>
      </c>
      <c r="L13" s="3">
        <v>259.999999999998</v>
      </c>
      <c r="M13" s="3">
        <v>253.333333333331</v>
      </c>
      <c r="N13" s="3">
        <v>246.666666666665</v>
      </c>
      <c r="O13" s="3">
        <v>239.999999999998</v>
      </c>
      <c r="P13" s="3">
        <v>233.333333333331</v>
      </c>
      <c r="Q13" s="3">
        <v>226.666666666664</v>
      </c>
      <c r="R13" s="3">
        <v>219.999999999998</v>
      </c>
      <c r="S13" s="3">
        <v>213.333333333331</v>
      </c>
      <c r="T13" s="3">
        <v>206.666666666664</v>
      </c>
      <c r="U13" s="3">
        <v>199.999999999998</v>
      </c>
      <c r="V13" s="3">
        <v>193.333333333331</v>
      </c>
      <c r="W13" s="3">
        <v>186.666666666665</v>
      </c>
      <c r="X13" s="3">
        <v>179.999999999998</v>
      </c>
      <c r="Y13" s="3">
        <v>173.333333333331</v>
      </c>
      <c r="Z13" s="3">
        <v>166.666666666665</v>
      </c>
      <c r="AA13" s="3">
        <v>159.999999999998</v>
      </c>
      <c r="AB13" s="3">
        <v>153.333333333332</v>
      </c>
      <c r="AC13" s="3">
        <v>146.666666666665</v>
      </c>
      <c r="AD13" s="3">
        <v>139.999999999999</v>
      </c>
      <c r="AE13" s="3">
        <v>133.333333333332</v>
      </c>
      <c r="AF13" s="3">
        <v>126.666666666666</v>
      </c>
      <c r="AG13" s="3">
        <v>119.999999999999</v>
      </c>
      <c r="AH13" s="3">
        <v>113.333333333333</v>
      </c>
      <c r="AI13" s="3">
        <v>106.666666666666</v>
      </c>
      <c r="AJ13" s="3">
        <v>100</v>
      </c>
    </row>
    <row r="15" spans="5:35">
      <c r="E15" t="s">
        <v>10</v>
      </c>
      <c r="F15" s="3"/>
      <c r="G15" s="3">
        <f>G13+(($C$10*$C$5)/($C$9*$C$8))*((H13-2*G13+F13)/($C$4^2))</f>
        <v>293.333333333333</v>
      </c>
      <c r="H15" s="3">
        <f t="shared" ref="H15:AI15" si="1">H13+(($C$10*$C$5)/($C$9*$C$8))*((I13-2*H13+G13)/($C$4^2))</f>
        <v>286.666666666666</v>
      </c>
      <c r="I15" s="3">
        <f t="shared" si="1"/>
        <v>279.999999999999</v>
      </c>
      <c r="J15" s="3">
        <f t="shared" si="1"/>
        <v>273.333333333332</v>
      </c>
      <c r="K15" s="3">
        <f t="shared" si="1"/>
        <v>266.666666666665</v>
      </c>
      <c r="L15" s="3">
        <f t="shared" si="1"/>
        <v>259.999999999998</v>
      </c>
      <c r="M15" s="3">
        <f t="shared" si="1"/>
        <v>253.333333333331</v>
      </c>
      <c r="N15" s="3">
        <f t="shared" si="1"/>
        <v>246.666666666665</v>
      </c>
      <c r="O15" s="3">
        <f t="shared" si="1"/>
        <v>239.999999999998</v>
      </c>
      <c r="P15" s="3">
        <f t="shared" si="1"/>
        <v>233.333333333331</v>
      </c>
      <c r="Q15" s="3">
        <f t="shared" si="1"/>
        <v>226.666666666664</v>
      </c>
      <c r="R15" s="3">
        <f t="shared" si="1"/>
        <v>219.999999999998</v>
      </c>
      <c r="S15" s="3">
        <f t="shared" si="1"/>
        <v>213.333333333331</v>
      </c>
      <c r="T15" s="3">
        <f t="shared" si="1"/>
        <v>206.666666666664</v>
      </c>
      <c r="U15" s="3">
        <f t="shared" si="1"/>
        <v>199.999999999998</v>
      </c>
      <c r="V15" s="3">
        <f t="shared" si="1"/>
        <v>193.333333333331</v>
      </c>
      <c r="W15" s="3">
        <f t="shared" si="1"/>
        <v>186.666666666665</v>
      </c>
      <c r="X15" s="3">
        <f t="shared" si="1"/>
        <v>179.999999999998</v>
      </c>
      <c r="Y15" s="3">
        <f t="shared" si="1"/>
        <v>173.333333333331</v>
      </c>
      <c r="Z15" s="3">
        <f t="shared" si="1"/>
        <v>166.666666666665</v>
      </c>
      <c r="AA15" s="3">
        <f t="shared" si="1"/>
        <v>159.999999999998</v>
      </c>
      <c r="AB15" s="3">
        <f t="shared" si="1"/>
        <v>153.333333333332</v>
      </c>
      <c r="AC15" s="3">
        <f t="shared" si="1"/>
        <v>146.666666666665</v>
      </c>
      <c r="AD15" s="3">
        <f t="shared" si="1"/>
        <v>139.999999999999</v>
      </c>
      <c r="AE15" s="3">
        <f t="shared" si="1"/>
        <v>133.333333333332</v>
      </c>
      <c r="AF15" s="3">
        <f t="shared" si="1"/>
        <v>126.666666666666</v>
      </c>
      <c r="AG15" s="3">
        <f t="shared" si="1"/>
        <v>119.999999999999</v>
      </c>
      <c r="AH15" s="3">
        <f t="shared" si="1"/>
        <v>113.333333333333</v>
      </c>
      <c r="AI15" s="3">
        <f t="shared" si="1"/>
        <v>106.666666666666</v>
      </c>
    </row>
    <row r="16" spans="5:35">
      <c r="E16" t="s">
        <v>12</v>
      </c>
      <c r="F16" s="3">
        <f>C12</f>
        <v>9200</v>
      </c>
      <c r="G16" s="3">
        <f>-$C$10*((G13-F13)/$C$4)</f>
        <v>92000.000000005</v>
      </c>
      <c r="H16" s="3">
        <f t="shared" ref="H16:AI16" si="2">-$C$10*((H13-G13)/$C$4)</f>
        <v>92000.000000005</v>
      </c>
      <c r="I16" s="3">
        <f t="shared" si="2"/>
        <v>92000.0000000042</v>
      </c>
      <c r="J16" s="3">
        <f t="shared" si="2"/>
        <v>92000.0000000034</v>
      </c>
      <c r="K16" s="3">
        <f t="shared" si="2"/>
        <v>92000.0000000034</v>
      </c>
      <c r="L16" s="3">
        <f t="shared" si="2"/>
        <v>92000.0000000026</v>
      </c>
      <c r="M16" s="3">
        <f t="shared" si="2"/>
        <v>92000.0000000018</v>
      </c>
      <c r="N16" s="3">
        <f t="shared" si="2"/>
        <v>92000.0000000014</v>
      </c>
      <c r="O16" s="3">
        <f t="shared" si="2"/>
        <v>92000.0000000014</v>
      </c>
      <c r="P16" s="3">
        <f t="shared" si="2"/>
        <v>92000.000000001</v>
      </c>
      <c r="Q16" s="3">
        <f t="shared" si="2"/>
        <v>92000.0000000007</v>
      </c>
      <c r="R16" s="3">
        <f t="shared" si="2"/>
        <v>92000.0000000007</v>
      </c>
      <c r="S16" s="3">
        <f t="shared" si="2"/>
        <v>92000.0000000002</v>
      </c>
      <c r="T16" s="3">
        <f t="shared" si="2"/>
        <v>91999.9999999999</v>
      </c>
      <c r="U16" s="3">
        <f t="shared" si="2"/>
        <v>91999.9999999999</v>
      </c>
      <c r="V16" s="3">
        <f t="shared" si="2"/>
        <v>91999.9999999995</v>
      </c>
      <c r="W16" s="3">
        <f t="shared" si="2"/>
        <v>91999.9999999995</v>
      </c>
      <c r="X16" s="3">
        <f t="shared" si="2"/>
        <v>91999.9999999991</v>
      </c>
      <c r="Y16" s="3">
        <f t="shared" si="2"/>
        <v>91999.9999999991</v>
      </c>
      <c r="Z16" s="3">
        <f t="shared" si="2"/>
        <v>91999.9999999987</v>
      </c>
      <c r="AA16" s="3">
        <f t="shared" si="2"/>
        <v>91999.9999999983</v>
      </c>
      <c r="AB16" s="3">
        <f t="shared" si="2"/>
        <v>91999.9999999983</v>
      </c>
      <c r="AC16" s="3">
        <f t="shared" si="2"/>
        <v>91999.9999999979</v>
      </c>
      <c r="AD16" s="3">
        <f t="shared" si="2"/>
        <v>91999.9999999975</v>
      </c>
      <c r="AE16" s="3">
        <f t="shared" si="2"/>
        <v>91999.9999999975</v>
      </c>
      <c r="AF16" s="3">
        <f t="shared" si="2"/>
        <v>91999.9999999969</v>
      </c>
      <c r="AG16" s="3">
        <f t="shared" si="2"/>
        <v>91999.9999999969</v>
      </c>
      <c r="AH16" s="3">
        <f t="shared" si="2"/>
        <v>91999.9999999967</v>
      </c>
      <c r="AI16" s="3">
        <f t="shared" si="2"/>
        <v>91999.9999999967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A3:AJ15"/>
  <sheetViews>
    <sheetView tabSelected="1" zoomScale="80" zoomScaleNormal="80" topLeftCell="A13" workbookViewId="0">
      <selection activeCell="V36" sqref="V36"/>
    </sheetView>
  </sheetViews>
  <sheetFormatPr defaultColWidth="9" defaultRowHeight="14.4"/>
  <cols>
    <col min="3" max="3" width="9.55555555555556" customWidth="1"/>
  </cols>
  <sheetData>
    <row r="3" spans="1:2">
      <c r="A3" s="1" t="s">
        <v>0</v>
      </c>
      <c r="B3" s="1">
        <v>0.1</v>
      </c>
    </row>
    <row r="4" spans="1:2">
      <c r="A4" s="1" t="s">
        <v>1</v>
      </c>
      <c r="B4" s="2">
        <f>B3/30</f>
        <v>0.00333333333333333</v>
      </c>
    </row>
    <row r="5" spans="1:2">
      <c r="A5" s="1" t="s">
        <v>2</v>
      </c>
      <c r="B5" s="2">
        <f>(B9*B8*B4^2)/(2*B10)</f>
        <v>0.433333333333333</v>
      </c>
    </row>
    <row r="6" spans="1:3">
      <c r="A6" s="1" t="s">
        <v>3</v>
      </c>
      <c r="B6" s="1">
        <v>1500</v>
      </c>
      <c r="C6">
        <v>1500.2</v>
      </c>
    </row>
    <row r="7" spans="1:1">
      <c r="A7" s="3"/>
    </row>
    <row r="8" spans="1:2">
      <c r="A8" s="1" t="s">
        <v>4</v>
      </c>
      <c r="B8" s="1">
        <v>460</v>
      </c>
    </row>
    <row r="9" spans="1:2">
      <c r="A9" s="1" t="s">
        <v>5</v>
      </c>
      <c r="B9" s="1">
        <v>7800</v>
      </c>
    </row>
    <row r="10" spans="1:2">
      <c r="A10" s="1" t="s">
        <v>6</v>
      </c>
      <c r="B10" s="1">
        <v>46</v>
      </c>
    </row>
    <row r="11" spans="1:36">
      <c r="A11" s="3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1:36">
      <c r="A12" s="1" t="s">
        <v>13</v>
      </c>
      <c r="B12" s="1">
        <v>300</v>
      </c>
      <c r="E12" t="s">
        <v>0</v>
      </c>
      <c r="F12" s="4">
        <v>0</v>
      </c>
      <c r="G12" s="5">
        <f>F12+$B$4</f>
        <v>0.00333333333333333</v>
      </c>
      <c r="H12" s="5">
        <f>G12+$B$4</f>
        <v>0.00666666666666667</v>
      </c>
      <c r="I12" s="5">
        <f>H12+$B$4</f>
        <v>0.01</v>
      </c>
      <c r="J12" s="5">
        <f>I12+$B$4</f>
        <v>0.0133333333333333</v>
      </c>
      <c r="K12" s="5">
        <f>J12+$B$4</f>
        <v>0.0166666666666667</v>
      </c>
      <c r="L12" s="5">
        <f>K12+$B$4</f>
        <v>0.02</v>
      </c>
      <c r="M12" s="5">
        <f>L12+$B$4</f>
        <v>0.0233333333333333</v>
      </c>
      <c r="N12" s="5">
        <f>M12+$B$4</f>
        <v>0.0266666666666667</v>
      </c>
      <c r="O12" s="5">
        <f>N12+$B$4</f>
        <v>0.03</v>
      </c>
      <c r="P12" s="5">
        <f>O12+$B$4</f>
        <v>0.0333333333333333</v>
      </c>
      <c r="Q12" s="5">
        <f>P12+$B$4</f>
        <v>0.0366666666666667</v>
      </c>
      <c r="R12" s="5">
        <f>Q12+$B$4</f>
        <v>0.04</v>
      </c>
      <c r="S12" s="5">
        <f>R12+$B$4</f>
        <v>0.0433333333333333</v>
      </c>
      <c r="T12" s="5">
        <f>S12+$B$4</f>
        <v>0.0466666666666667</v>
      </c>
      <c r="U12" s="5">
        <f>T12+$B$4</f>
        <v>0.05</v>
      </c>
      <c r="V12" s="5">
        <f>U12+$B$4</f>
        <v>0.0533333333333333</v>
      </c>
      <c r="W12" s="5">
        <f>V12+$B$4</f>
        <v>0.0566666666666667</v>
      </c>
      <c r="X12" s="5">
        <f>W12+$B$4</f>
        <v>0.06</v>
      </c>
      <c r="Y12" s="5">
        <f>X12+$B$4</f>
        <v>0.0633333333333333</v>
      </c>
      <c r="Z12" s="5">
        <f>Y12+$B$4</f>
        <v>0.0666666666666667</v>
      </c>
      <c r="AA12" s="5">
        <f>Z12+$B$4</f>
        <v>0.07</v>
      </c>
      <c r="AB12" s="5">
        <f>AA12+$B$4</f>
        <v>0.0733333333333333</v>
      </c>
      <c r="AC12" s="5">
        <f>AB12+$B$4</f>
        <v>0.0766666666666666</v>
      </c>
      <c r="AD12" s="5">
        <f>AC12+$B$4</f>
        <v>0.08</v>
      </c>
      <c r="AE12" s="5">
        <f>AD12+$B$4</f>
        <v>0.0833333333333333</v>
      </c>
      <c r="AF12" s="5">
        <f>AE12+$B$4</f>
        <v>0.0866666666666666</v>
      </c>
      <c r="AG12" s="5">
        <f>AF12+$B$4</f>
        <v>0.09</v>
      </c>
      <c r="AH12" s="5">
        <f>AG12+$B$4</f>
        <v>0.0933333333333333</v>
      </c>
      <c r="AI12" s="5">
        <f>AH12+$B$4</f>
        <v>0.0966666666666666</v>
      </c>
      <c r="AJ12" s="5">
        <f>AI12+$B$4</f>
        <v>0.0999999999999999</v>
      </c>
    </row>
    <row r="13" spans="1:36">
      <c r="A13" s="1" t="s">
        <v>8</v>
      </c>
      <c r="B13" s="1">
        <v>1100</v>
      </c>
      <c r="E13" t="s">
        <v>9</v>
      </c>
      <c r="F13">
        <f>(G13+$B$12*$B$14*$B$4/$B$10)/(1+$B$14*$B$4/$B$10)</f>
        <v>953.102505893685</v>
      </c>
      <c r="G13">
        <v>957.835132747987</v>
      </c>
      <c r="H13">
        <v>962.581202648177</v>
      </c>
      <c r="I13">
        <v>967.340767896073</v>
      </c>
      <c r="J13">
        <v>972.113836229338</v>
      </c>
      <c r="K13">
        <v>976.900370757474</v>
      </c>
      <c r="L13">
        <v>981.700290140781</v>
      </c>
      <c r="M13">
        <v>986.513468783933</v>
      </c>
      <c r="N13">
        <v>991.339737343127</v>
      </c>
      <c r="O13">
        <v>996.178883177073</v>
      </c>
      <c r="P13">
        <v>1001.03065117269</v>
      </c>
      <c r="Q13">
        <v>1005.89474445104</v>
      </c>
      <c r="R13">
        <v>1010.7708254967</v>
      </c>
      <c r="S13">
        <v>1015.6585171137</v>
      </c>
      <c r="T13">
        <v>1020.55740383893</v>
      </c>
      <c r="U13">
        <v>1025.46703314054</v>
      </c>
      <c r="V13">
        <v>1030.38691709131</v>
      </c>
      <c r="W13">
        <v>1035.31653379931</v>
      </c>
      <c r="X13">
        <v>1040.25532931349</v>
      </c>
      <c r="Y13">
        <v>1045.20271927336</v>
      </c>
      <c r="Z13">
        <v>1050.15809101588</v>
      </c>
      <c r="AA13">
        <v>1055.12080542828</v>
      </c>
      <c r="AB13">
        <v>1060.09019922262</v>
      </c>
      <c r="AC13">
        <v>1065.06558697277</v>
      </c>
      <c r="AD13">
        <v>1070.04626352148</v>
      </c>
      <c r="AE13">
        <v>1075.0315061795</v>
      </c>
      <c r="AF13">
        <v>1080.02057722879</v>
      </c>
      <c r="AG13">
        <v>1085.01272625896</v>
      </c>
      <c r="AH13">
        <v>1090.00719272983</v>
      </c>
      <c r="AI13">
        <v>1095.00320841754</v>
      </c>
      <c r="AJ13">
        <f>B13</f>
        <v>1100</v>
      </c>
    </row>
    <row r="14" spans="1:2">
      <c r="A14" s="1" t="s">
        <v>14</v>
      </c>
      <c r="B14" s="1">
        <v>100</v>
      </c>
    </row>
    <row r="15" spans="5:35">
      <c r="E15" t="s">
        <v>10</v>
      </c>
      <c r="G15">
        <f>G13+(($B$10*$B$5)/($B$9*$B$8))*((H13-2*G13+F13)/($B$4^2))</f>
        <v>957.841854270931</v>
      </c>
      <c r="H15">
        <f>H13+(($B$10*$B$5)/($B$9*$B$8))*((I13-2*H13+G13)/($B$4^2))</f>
        <v>962.58795032203</v>
      </c>
      <c r="I15">
        <f>I13+(($B$10*$B$5)/($B$9*$B$8))*((J13-2*I13+H13)/($B$4^2))</f>
        <v>967.347519438757</v>
      </c>
      <c r="J15">
        <f>J13+(($B$10*$B$5)/($B$9*$B$8))*((K13-2*J13+I13)/($B$4^2))</f>
        <v>972.120569326773</v>
      </c>
      <c r="K15">
        <f>K13+(($B$10*$B$5)/($B$9*$B$8))*((L13-2*K13+J13)/($B$4^2))</f>
        <v>976.907063185059</v>
      </c>
      <c r="L15">
        <f>L13+(($B$10*$B$5)/($B$9*$B$8))*((M13-2*L13+K13)/($B$4^2))</f>
        <v>981.706919770703</v>
      </c>
      <c r="M15">
        <f>M13+(($B$10*$B$5)/($B$9*$B$8))*((N13-2*M13+L13)/($B$4^2))</f>
        <v>986.520013741954</v>
      </c>
      <c r="N15">
        <f>N13+(($B$10*$B$5)/($B$9*$B$8))*((O13-2*N13+M13)/($B$4^2))</f>
        <v>991.346175980503</v>
      </c>
      <c r="O15">
        <f>O13+(($B$10*$B$5)/($B$9*$B$8))*((P13-2*O13+N13)/($B$4^2))</f>
        <v>996.185194257909</v>
      </c>
      <c r="P15">
        <f>P13+(($B$10*$B$5)/($B$9*$B$8))*((Q13-2*P13+O13)/($B$4^2))</f>
        <v>1001.03681381406</v>
      </c>
      <c r="Q15">
        <f>Q13+(($B$10*$B$5)/($B$9*$B$8))*((R13-2*Q13+P13)/($B$4^2))</f>
        <v>1005.9007383347</v>
      </c>
      <c r="R15">
        <f>R13+(($B$10*$B$5)/($B$9*$B$8))*((S13-2*R13+Q13)/($B$4^2))</f>
        <v>1010.77663078237</v>
      </c>
      <c r="S15">
        <f>S13+(($B$10*$B$5)/($B$9*$B$8))*((T13-2*S13+R13)/($B$4^2))</f>
        <v>1015.66411466782</v>
      </c>
      <c r="T15">
        <f>T13+(($B$10*$B$5)/($B$9*$B$8))*((U13-2*T13+S13)/($B$4^2))</f>
        <v>1020.56277512712</v>
      </c>
      <c r="U15">
        <f>U13+(($B$10*$B$5)/($B$9*$B$8))*((V13-2*U13+T13)/($B$4^2))</f>
        <v>1025.47216046512</v>
      </c>
      <c r="V15">
        <f>V13+(($B$10*$B$5)/($B$9*$B$8))*((W13-2*V13+U13)/($B$4^2))</f>
        <v>1030.39178346993</v>
      </c>
      <c r="W15">
        <f>W13+(($B$10*$B$5)/($B$9*$B$8))*((X13-2*W13+V13)/($B$4^2))</f>
        <v>1035.3211232024</v>
      </c>
      <c r="X15">
        <f>X13+(($B$10*$B$5)/($B$9*$B$8))*((Y13-2*X13+W13)/($B$4^2))</f>
        <v>1040.25962653634</v>
      </c>
      <c r="Y15">
        <f>Y13+(($B$10*$B$5)/($B$9*$B$8))*((Z13-2*Y13+X13)/($B$4^2))</f>
        <v>1045.20671016468</v>
      </c>
      <c r="Z15">
        <f>Z13+(($B$10*$B$5)/($B$9*$B$8))*((AA13-2*Z13+Y13)/($B$4^2))</f>
        <v>1050.16176235082</v>
      </c>
      <c r="AA15">
        <f>AA13+(($B$10*$B$5)/($B$9*$B$8))*((AB13-2*AA13+Z13)/($B$4^2))</f>
        <v>1055.12414511925</v>
      </c>
      <c r="AB15">
        <f>AB13+(($B$10*$B$5)/($B$9*$B$8))*((AC13-2*AB13+AA13)/($B$4^2))</f>
        <v>1060.09319620053</v>
      </c>
      <c r="AC15">
        <f>AC13+(($B$10*$B$5)/($B$9*$B$8))*((AD13-2*AC13+AB13)/($B$4^2))</f>
        <v>1065.06823137205</v>
      </c>
      <c r="AD15">
        <f>AD13+(($B$10*$B$5)/($B$9*$B$8))*((AE13-2*AD13+AC13)/($B$4^2))</f>
        <v>1070.04854657614</v>
      </c>
      <c r="AE15">
        <f>AE13+(($B$10*$B$5)/($B$9*$B$8))*((AF13-2*AE13+AD13)/($B$4^2))</f>
        <v>1075.03342037514</v>
      </c>
      <c r="AF15">
        <f>AF13+(($B$10*$B$5)/($B$9*$B$8))*((AG13-2*AF13+AE13)/($B$4^2))</f>
        <v>1080.02211621923</v>
      </c>
      <c r="AG15">
        <f>AG13+(($B$10*$B$5)/($B$9*$B$8))*((AH13-2*AG13+AF13)/($B$4^2))</f>
        <v>1085.01388497931</v>
      </c>
      <c r="AH15">
        <f>AH13+(($B$10*$B$5)/($B$9*$B$8))*((AI13-2*AH13+AG13)/($B$4^2))</f>
        <v>1090.00796733825</v>
      </c>
      <c r="AI15">
        <f>AI13+(($B$10*$B$5)/($B$9*$B$8))*((AJ13-2*AI13+AH13)/($B$4^2))</f>
        <v>1095.00359636491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Yaroslava</cp:lastModifiedBy>
  <dcterms:created xsi:type="dcterms:W3CDTF">2015-06-05T18:19:00Z</dcterms:created>
  <dcterms:modified xsi:type="dcterms:W3CDTF">2021-11-08T16:29:14Z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38C1A75633E24F659F5A3437F3071810</vt:lpwstr>
  </property>
  <property fmtid="{D5CDD505-2E9C-101B-9397-08002B2CF9AE}" pid="3" name="KSOProductBuildVer">
    <vt:lpwstr>1049-11.2.0.10351</vt:lpwstr>
  </property>
</Properties>
</file>