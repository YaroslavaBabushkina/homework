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ЭтаКнига"/>
  <bookViews>
    <workbookView windowWidth="22368" windowHeight="9335" activeTab="1"/>
  </bookViews>
  <sheets>
    <sheet name="Явная схема" sheetId="1" r:id="rId1"/>
    <sheet name="Неявная схема" sheetId="4" r:id="rId2"/>
  </sheets>
  <calcPr calcId="144525"/>
</workbook>
</file>

<file path=xl/sharedStrings.xml><?xml version="1.0" encoding="utf-8"?>
<sst xmlns="http://schemas.openxmlformats.org/spreadsheetml/2006/main" count="30" uniqueCount="17">
  <si>
    <t>L</t>
  </si>
  <si>
    <t>dx</t>
  </si>
  <si>
    <t>dt</t>
  </si>
  <si>
    <t>t</t>
  </si>
  <si>
    <t>Cp</t>
  </si>
  <si>
    <t>r0</t>
  </si>
  <si>
    <t>lamda</t>
  </si>
  <si>
    <t>T_start</t>
  </si>
  <si>
    <t>T_end</t>
  </si>
  <si>
    <t>T</t>
  </si>
  <si>
    <t>T_iter</t>
  </si>
  <si>
    <t>α</t>
  </si>
  <si>
    <t>A</t>
  </si>
  <si>
    <t>betta</t>
  </si>
  <si>
    <t>B</t>
  </si>
  <si>
    <t>F</t>
  </si>
  <si>
    <t>C</t>
  </si>
</sst>
</file>

<file path=xl/styles.xml><?xml version="1.0" encoding="utf-8"?>
<styleSheet xmlns="http://schemas.openxmlformats.org/spreadsheetml/2006/main">
  <numFmts count="6">
    <numFmt numFmtId="176" formatCode="_-* #,##0.00\ &quot;₽&quot;_-;\-* #,##0.00\ &quot;₽&quot;_-;_-* \-??\ &quot;₽&quot;_-;_-@_-"/>
    <numFmt numFmtId="177" formatCode="0.00000"/>
    <numFmt numFmtId="178" formatCode="0.E+00"/>
    <numFmt numFmtId="43" formatCode="_-* #,##0.00_-;\-* #,##0.00_-;_-* &quot;-&quot;??_-;_-@_-"/>
    <numFmt numFmtId="179" formatCode="_-* #,##0\ &quot;₽&quot;_-;\-* #,##0\ &quot;₽&quot;_-;_-* \-\ &quot;₽&quot;_-;_-@_-"/>
    <numFmt numFmtId="41" formatCode="_-* #,##0_-;\-* #,##0_-;_-* &quot;-&quot;_-;_-@_-"/>
  </numFmts>
  <fonts count="22">
    <font>
      <sz val="11"/>
      <color theme="1"/>
      <name val="Calibri"/>
      <charset val="134"/>
      <scheme val="minor"/>
    </font>
    <font>
      <sz val="11"/>
      <color theme="1"/>
      <name val="Calibri"/>
      <charset val="204"/>
    </font>
    <font>
      <sz val="11"/>
      <color theme="0"/>
      <name val="Calibri"/>
      <charset val="0"/>
      <scheme val="minor"/>
    </font>
    <font>
      <sz val="11"/>
      <color rgb="FF9C65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theme="1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b/>
      <sz val="11"/>
      <color theme="1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3F3F76"/>
      <name val="Calibri"/>
      <charset val="0"/>
      <scheme val="minor"/>
    </font>
    <font>
      <sz val="11"/>
      <color rgb="FFFF0000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rgb="FFFA7D00"/>
      <name val="Calibri"/>
      <charset val="0"/>
      <scheme val="minor"/>
    </font>
    <font>
      <sz val="11"/>
      <color rgb="FF9C0006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599993896298105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0" fontId="5" fillId="6" borderId="0" applyNumberFormat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6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4" fillId="5" borderId="2" applyNumberForma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7" fillId="21" borderId="6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8" fillId="0" borderId="9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3" fillId="20" borderId="5" applyNumberFormat="0" applyAlignment="0" applyProtection="0">
      <alignment vertical="center"/>
    </xf>
    <xf numFmtId="0" fontId="12" fillId="19" borderId="4" applyNumberFormat="0" applyAlignment="0" applyProtection="0">
      <alignment vertical="center"/>
    </xf>
    <xf numFmtId="0" fontId="20" fillId="5" borderId="5" applyNumberFormat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</cellStyleXfs>
  <cellXfs count="8">
    <xf numFmtId="0" fontId="0" fillId="0" borderId="0" xfId="0"/>
    <xf numFmtId="0" fontId="0" fillId="0" borderId="1" xfId="0" applyBorder="1" applyAlignment="1">
      <alignment horizontal="center"/>
    </xf>
    <xf numFmtId="177" fontId="0" fillId="0" borderId="1" xfId="0" applyNumberFormat="1" applyBorder="1" applyAlignment="1">
      <alignment horizontal="center"/>
    </xf>
    <xf numFmtId="177" fontId="0" fillId="0" borderId="1" xfId="0" applyNumberFormat="1" applyBorder="1"/>
    <xf numFmtId="0" fontId="1" fillId="0" borderId="0" xfId="0" applyFont="1"/>
    <xf numFmtId="0" fontId="0" fillId="0" borderId="0" xfId="0" applyAlignment="1">
      <alignment horizontal="center"/>
    </xf>
    <xf numFmtId="178" fontId="0" fillId="0" borderId="0" xfId="0" applyNumberFormat="1"/>
    <xf numFmtId="1" fontId="0" fillId="0" borderId="0" xfId="0" applyNumberFormat="1"/>
  </cellXfs>
  <cellStyles count="49">
    <cellStyle name="Обычный" xfId="0" builtinId="0"/>
    <cellStyle name="20% — Акцент3" xfId="1" builtinId="38"/>
    <cellStyle name="Денежный [0]" xfId="2" builtinId="7"/>
    <cellStyle name="40% — Акцент5" xfId="3" builtinId="47"/>
    <cellStyle name="Хороший" xfId="4" builtinId="26"/>
    <cellStyle name="Запятая [0]" xfId="5" builtinId="6"/>
    <cellStyle name="Денежный" xfId="6" builtinId="4"/>
    <cellStyle name="Запятая" xfId="7" builtinId="3"/>
    <cellStyle name="40% — Акцент6" xfId="8" builtinId="51"/>
    <cellStyle name="Процент" xfId="9" builtinId="5"/>
    <cellStyle name="20% — Акцент2" xfId="10" builtinId="34"/>
    <cellStyle name="Итого" xfId="11" builtinId="25"/>
    <cellStyle name="Вывод" xfId="12" builtinId="21"/>
    <cellStyle name="Гиперссылка" xfId="13" builtinId="8"/>
    <cellStyle name="40% — Акцент4" xfId="14" builtinId="43"/>
    <cellStyle name="Открывавшаяся гиперссылка" xfId="15" builtinId="9"/>
    <cellStyle name="Примечание" xfId="16" builtinId="10"/>
    <cellStyle name="Предупреждающий текст" xfId="17" builtinId="11"/>
    <cellStyle name="Заголовок" xfId="18" builtinId="15"/>
    <cellStyle name="Пояснительный текст" xfId="19" builtinId="53"/>
    <cellStyle name="Заголовок 1" xfId="20" builtinId="16"/>
    <cellStyle name="Заголовок 2" xfId="21" builtinId="17"/>
    <cellStyle name="Заголовок 3" xfId="22" builtinId="18"/>
    <cellStyle name="Заголовок 4" xfId="23" builtinId="19"/>
    <cellStyle name="Ввод" xfId="24" builtinId="20"/>
    <cellStyle name="Проверить ячейку" xfId="25" builtinId="23"/>
    <cellStyle name="Вычисление" xfId="26" builtinId="22"/>
    <cellStyle name="Связанная ячейка" xfId="27" builtinId="24"/>
    <cellStyle name="Плохой" xfId="28" builtinId="27"/>
    <cellStyle name="Акцент5" xfId="29" builtinId="45"/>
    <cellStyle name="Нейтральный" xfId="30" builtinId="28"/>
    <cellStyle name="Акцент1" xfId="31" builtinId="29"/>
    <cellStyle name="20% — Акцент1" xfId="32" builtinId="30"/>
    <cellStyle name="40% — Акцент1" xfId="33" builtinId="31"/>
    <cellStyle name="20% — Акцент5" xfId="34" builtinId="46"/>
    <cellStyle name="60% — Акцент1" xfId="35" builtinId="32"/>
    <cellStyle name="Акцент2" xfId="36" builtinId="33"/>
    <cellStyle name="40% — Акцент2" xfId="37" builtinId="35"/>
    <cellStyle name="20% — Акцент6" xfId="38" builtinId="50"/>
    <cellStyle name="60% — Акцент2" xfId="39" builtinId="36"/>
    <cellStyle name="Акцент3" xfId="40" builtinId="37"/>
    <cellStyle name="40% — Акцент3" xfId="41" builtinId="39"/>
    <cellStyle name="60% — Акцент3" xfId="42" builtinId="40"/>
    <cellStyle name="Акцент4" xfId="43" builtinId="41"/>
    <cellStyle name="20% — Акцент4" xfId="44" builtinId="42"/>
    <cellStyle name="60% — Акцент4" xfId="45" builtinId="44"/>
    <cellStyle name="60% — Акцент5" xfId="46" builtinId="48"/>
    <cellStyle name="Акцент6" xfId="47" builtinId="49"/>
    <cellStyle name="60% — Акцент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"/>
        <c:varyColors val="0"/>
        <c:ser>
          <c:idx val="0"/>
          <c:order val="0"/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'Явная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0.00333333333333333</c:v>
                </c:pt>
                <c:pt idx="2">
                  <c:v>0.00666666666666667</c:v>
                </c:pt>
                <c:pt idx="3">
                  <c:v>0.01</c:v>
                </c:pt>
                <c:pt idx="4">
                  <c:v>0.0133333333333333</c:v>
                </c:pt>
                <c:pt idx="5">
                  <c:v>0.0166666666666667</c:v>
                </c:pt>
                <c:pt idx="6">
                  <c:v>0.02</c:v>
                </c:pt>
                <c:pt idx="7">
                  <c:v>0.0233333333333333</c:v>
                </c:pt>
                <c:pt idx="8">
                  <c:v>0.0266666666666667</c:v>
                </c:pt>
                <c:pt idx="9">
                  <c:v>0.03</c:v>
                </c:pt>
                <c:pt idx="10">
                  <c:v>0.0333333333333333</c:v>
                </c:pt>
                <c:pt idx="11">
                  <c:v>0.0366666666666667</c:v>
                </c:pt>
                <c:pt idx="12">
                  <c:v>0.04</c:v>
                </c:pt>
                <c:pt idx="13">
                  <c:v>0.0433333333333333</c:v>
                </c:pt>
                <c:pt idx="14">
                  <c:v>0.0466666666666667</c:v>
                </c:pt>
                <c:pt idx="15">
                  <c:v>0.05</c:v>
                </c:pt>
                <c:pt idx="16">
                  <c:v>0.0533333333333333</c:v>
                </c:pt>
                <c:pt idx="17">
                  <c:v>0.0566666666666667</c:v>
                </c:pt>
                <c:pt idx="18">
                  <c:v>0.06</c:v>
                </c:pt>
                <c:pt idx="19">
                  <c:v>0.0633333333333333</c:v>
                </c:pt>
                <c:pt idx="20">
                  <c:v>0.0666666666666667</c:v>
                </c:pt>
                <c:pt idx="21">
                  <c:v>0.07</c:v>
                </c:pt>
                <c:pt idx="22">
                  <c:v>0.0733333333333333</c:v>
                </c:pt>
                <c:pt idx="23">
                  <c:v>0.0766666666666666</c:v>
                </c:pt>
                <c:pt idx="24">
                  <c:v>0.08</c:v>
                </c:pt>
                <c:pt idx="25">
                  <c:v>0.0833333333333333</c:v>
                </c:pt>
                <c:pt idx="26">
                  <c:v>0.0866666666666666</c:v>
                </c:pt>
                <c:pt idx="27">
                  <c:v>0.09</c:v>
                </c:pt>
                <c:pt idx="28">
                  <c:v>0.0933333333333333</c:v>
                </c:pt>
                <c:pt idx="29">
                  <c:v>0.0966666666666666</c:v>
                </c:pt>
                <c:pt idx="30">
                  <c:v>0.0999999999999999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609848"/>
        <c:axId val="452607888"/>
      </c:scatterChart>
      <c:valAx>
        <c:axId val="45260984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52607888"/>
        <c:crosses val="autoZero"/>
        <c:crossBetween val="midCat"/>
      </c:valAx>
      <c:valAx>
        <c:axId val="45260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52609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ru-RU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xVal>
            <c:numRef>
              <c:f>'Неявная схема'!$F$4:$AJ$4</c:f>
              <c:numCache>
                <c:formatCode>0.00000</c:formatCode>
                <c:ptCount val="31"/>
                <c:pt idx="0">
                  <c:v>0</c:v>
                </c:pt>
                <c:pt idx="1">
                  <c:v>0.00333333333333333</c:v>
                </c:pt>
                <c:pt idx="2">
                  <c:v>0.00666666666666667</c:v>
                </c:pt>
                <c:pt idx="3">
                  <c:v>0.01</c:v>
                </c:pt>
                <c:pt idx="4">
                  <c:v>0.0133333333333333</c:v>
                </c:pt>
                <c:pt idx="5">
                  <c:v>0.0166666666666667</c:v>
                </c:pt>
                <c:pt idx="6">
                  <c:v>0.02</c:v>
                </c:pt>
                <c:pt idx="7">
                  <c:v>0.0233333333333333</c:v>
                </c:pt>
                <c:pt idx="8">
                  <c:v>0.0266666666666667</c:v>
                </c:pt>
                <c:pt idx="9">
                  <c:v>0.03</c:v>
                </c:pt>
                <c:pt idx="10">
                  <c:v>0.0333333333333333</c:v>
                </c:pt>
                <c:pt idx="11">
                  <c:v>0.0366666666666667</c:v>
                </c:pt>
                <c:pt idx="12">
                  <c:v>0.04</c:v>
                </c:pt>
                <c:pt idx="13">
                  <c:v>0.0433333333333333</c:v>
                </c:pt>
                <c:pt idx="14">
                  <c:v>0.0466666666666667</c:v>
                </c:pt>
                <c:pt idx="15">
                  <c:v>0.05</c:v>
                </c:pt>
                <c:pt idx="16">
                  <c:v>0.0533333333333333</c:v>
                </c:pt>
                <c:pt idx="17">
                  <c:v>0.0566666666666667</c:v>
                </c:pt>
                <c:pt idx="18">
                  <c:v>0.06</c:v>
                </c:pt>
                <c:pt idx="19">
                  <c:v>0.0633333333333333</c:v>
                </c:pt>
                <c:pt idx="20">
                  <c:v>0.0666666666666667</c:v>
                </c:pt>
                <c:pt idx="21">
                  <c:v>0.07</c:v>
                </c:pt>
                <c:pt idx="22">
                  <c:v>0.0733333333333333</c:v>
                </c:pt>
                <c:pt idx="23">
                  <c:v>0.0766666666666666</c:v>
                </c:pt>
                <c:pt idx="24">
                  <c:v>0.08</c:v>
                </c:pt>
                <c:pt idx="25">
                  <c:v>0.0833333333333333</c:v>
                </c:pt>
                <c:pt idx="26">
                  <c:v>0.0866666666666666</c:v>
                </c:pt>
                <c:pt idx="27">
                  <c:v>0.09</c:v>
                </c:pt>
                <c:pt idx="28">
                  <c:v>0.0933333333333333</c:v>
                </c:pt>
                <c:pt idx="29">
                  <c:v>0.0966666666666666</c:v>
                </c:pt>
                <c:pt idx="30">
                  <c:v>0.0999999999999999</c:v>
                </c:pt>
              </c:numCache>
            </c:numRef>
          </c:xVal>
          <c:yVal>
            <c:numRef>
              <c:f>'Неявная схема'!$F$5:$AJ$5</c:f>
              <c:numCache>
                <c:formatCode>General</c:formatCode>
                <c:ptCount val="31"/>
                <c:pt idx="0">
                  <c:v>300</c:v>
                </c:pt>
                <c:pt idx="1">
                  <c:v>280.351676410664</c:v>
                </c:pt>
                <c:pt idx="2">
                  <c:v>260.871706316448</c:v>
                </c:pt>
                <c:pt idx="3">
                  <c:v>241.725226507401</c:v>
                </c:pt>
                <c:pt idx="4">
                  <c:v>223.071058822139</c:v>
                </c:pt>
                <c:pt idx="5">
                  <c:v>205.058841482208</c:v>
                </c:pt>
                <c:pt idx="6">
                  <c:v>187.826487059285</c:v>
                </c:pt>
                <c:pt idx="7">
                  <c:v>171.498044471578</c:v>
                </c:pt>
                <c:pt idx="8">
                  <c:v>156.182018743072</c:v>
                </c:pt>
                <c:pt idx="9">
                  <c:v>141.9701764481</c:v>
                </c:pt>
                <c:pt idx="10">
                  <c:v>128.936838766971</c:v>
                </c:pt>
                <c:pt idx="11">
                  <c:v>117.138639785032</c:v>
                </c:pt>
                <c:pt idx="12">
                  <c:v>106.614706728714</c:v>
                </c:pt>
                <c:pt idx="13">
                  <c:v>97.3872025278737</c:v>
                </c:pt>
                <c:pt idx="14">
                  <c:v>89.4621602429901</c:v>
                </c:pt>
                <c:pt idx="15">
                  <c:v>82.8305338135467</c:v>
                </c:pt>
                <c:pt idx="16">
                  <c:v>77.469390089733</c:v>
                </c:pt>
                <c:pt idx="17">
                  <c:v>73.3431725792256</c:v>
                </c:pt>
                <c:pt idx="18">
                  <c:v>70.4049767962744</c:v>
                </c:pt>
                <c:pt idx="19">
                  <c:v>68.5977893241338</c:v>
                </c:pt>
                <c:pt idx="20">
                  <c:v>67.8556563649402</c:v>
                </c:pt>
                <c:pt idx="21">
                  <c:v>68.1047613404479</c:v>
                </c:pt>
                <c:pt idx="22">
                  <c:v>69.2644038424149</c:v>
                </c:pt>
                <c:pt idx="23">
                  <c:v>71.2478829612678</c:v>
                </c:pt>
                <c:pt idx="24">
                  <c:v>73.9632960910046</c:v>
                </c:pt>
                <c:pt idx="25">
                  <c:v>77.3142693946802</c:v>
                </c:pt>
                <c:pt idx="26">
                  <c:v>81.2006382310692</c:v>
                </c:pt>
                <c:pt idx="27">
                  <c:v>85.5190953081032</c:v>
                </c:pt>
                <c:pt idx="28">
                  <c:v>90.163821710595</c:v>
                </c:pt>
                <c:pt idx="29">
                  <c:v>95.0271119878638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608672"/>
        <c:axId val="452612200"/>
      </c:scatterChart>
      <c:valAx>
        <c:axId val="45260867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52612200"/>
        <c:crosses val="autoZero"/>
        <c:crossBetween val="midCat"/>
      </c:valAx>
      <c:valAx>
        <c:axId val="45261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52608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ru-RU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"/>
        <c:varyColors val="0"/>
        <c:ser>
          <c:idx val="0"/>
          <c:order val="0"/>
          <c:spPr>
            <a:ln w="19050" cap="rnd">
              <a:solidFill>
                <a:schemeClr val="accent1">
                  <a:alpha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'Неявная схема'!$F$4:$AJ$4</c:f>
              <c:numCache>
                <c:formatCode>0.00000</c:formatCode>
                <c:ptCount val="31"/>
                <c:pt idx="0">
                  <c:v>0</c:v>
                </c:pt>
                <c:pt idx="1">
                  <c:v>0.00333333333333333</c:v>
                </c:pt>
                <c:pt idx="2">
                  <c:v>0.00666666666666667</c:v>
                </c:pt>
                <c:pt idx="3">
                  <c:v>0.01</c:v>
                </c:pt>
                <c:pt idx="4">
                  <c:v>0.0133333333333333</c:v>
                </c:pt>
                <c:pt idx="5">
                  <c:v>0.0166666666666667</c:v>
                </c:pt>
                <c:pt idx="6">
                  <c:v>0.02</c:v>
                </c:pt>
                <c:pt idx="7">
                  <c:v>0.0233333333333333</c:v>
                </c:pt>
                <c:pt idx="8">
                  <c:v>0.0266666666666667</c:v>
                </c:pt>
                <c:pt idx="9">
                  <c:v>0.03</c:v>
                </c:pt>
                <c:pt idx="10">
                  <c:v>0.0333333333333333</c:v>
                </c:pt>
                <c:pt idx="11">
                  <c:v>0.0366666666666667</c:v>
                </c:pt>
                <c:pt idx="12">
                  <c:v>0.04</c:v>
                </c:pt>
                <c:pt idx="13">
                  <c:v>0.0433333333333333</c:v>
                </c:pt>
                <c:pt idx="14">
                  <c:v>0.0466666666666667</c:v>
                </c:pt>
                <c:pt idx="15">
                  <c:v>0.05</c:v>
                </c:pt>
                <c:pt idx="16">
                  <c:v>0.0533333333333333</c:v>
                </c:pt>
                <c:pt idx="17">
                  <c:v>0.0566666666666667</c:v>
                </c:pt>
                <c:pt idx="18">
                  <c:v>0.06</c:v>
                </c:pt>
                <c:pt idx="19">
                  <c:v>0.0633333333333333</c:v>
                </c:pt>
                <c:pt idx="20">
                  <c:v>0.0666666666666667</c:v>
                </c:pt>
                <c:pt idx="21">
                  <c:v>0.07</c:v>
                </c:pt>
                <c:pt idx="22">
                  <c:v>0.0733333333333333</c:v>
                </c:pt>
                <c:pt idx="23">
                  <c:v>0.0766666666666666</c:v>
                </c:pt>
                <c:pt idx="24">
                  <c:v>0.08</c:v>
                </c:pt>
                <c:pt idx="25">
                  <c:v>0.0833333333333333</c:v>
                </c:pt>
                <c:pt idx="26">
                  <c:v>0.0866666666666666</c:v>
                </c:pt>
                <c:pt idx="27">
                  <c:v>0.09</c:v>
                </c:pt>
                <c:pt idx="28">
                  <c:v>0.0933333333333333</c:v>
                </c:pt>
                <c:pt idx="29">
                  <c:v>0.0966666666666666</c:v>
                </c:pt>
                <c:pt idx="30">
                  <c:v>0.0999999999999999</c:v>
                </c:pt>
              </c:numCache>
            </c:numRef>
          </c:xVal>
          <c:yVal>
            <c:numRef>
              <c:f>'Неявная схема'!$F$5:$AJ$5</c:f>
              <c:numCache>
                <c:formatCode>General</c:formatCode>
                <c:ptCount val="31"/>
                <c:pt idx="0">
                  <c:v>300</c:v>
                </c:pt>
                <c:pt idx="1">
                  <c:v>280.351676410664</c:v>
                </c:pt>
                <c:pt idx="2">
                  <c:v>260.871706316448</c:v>
                </c:pt>
                <c:pt idx="3">
                  <c:v>241.725226507401</c:v>
                </c:pt>
                <c:pt idx="4">
                  <c:v>223.071058822139</c:v>
                </c:pt>
                <c:pt idx="5">
                  <c:v>205.058841482208</c:v>
                </c:pt>
                <c:pt idx="6">
                  <c:v>187.826487059285</c:v>
                </c:pt>
                <c:pt idx="7">
                  <c:v>171.498044471578</c:v>
                </c:pt>
                <c:pt idx="8">
                  <c:v>156.182018743072</c:v>
                </c:pt>
                <c:pt idx="9">
                  <c:v>141.9701764481</c:v>
                </c:pt>
                <c:pt idx="10">
                  <c:v>128.936838766971</c:v>
                </c:pt>
                <c:pt idx="11">
                  <c:v>117.138639785032</c:v>
                </c:pt>
                <c:pt idx="12">
                  <c:v>106.614706728714</c:v>
                </c:pt>
                <c:pt idx="13">
                  <c:v>97.3872025278737</c:v>
                </c:pt>
                <c:pt idx="14">
                  <c:v>89.4621602429901</c:v>
                </c:pt>
                <c:pt idx="15">
                  <c:v>82.8305338135467</c:v>
                </c:pt>
                <c:pt idx="16">
                  <c:v>77.469390089733</c:v>
                </c:pt>
                <c:pt idx="17">
                  <c:v>73.3431725792256</c:v>
                </c:pt>
                <c:pt idx="18">
                  <c:v>70.4049767962744</c:v>
                </c:pt>
                <c:pt idx="19">
                  <c:v>68.5977893241338</c:v>
                </c:pt>
                <c:pt idx="20">
                  <c:v>67.8556563649402</c:v>
                </c:pt>
                <c:pt idx="21">
                  <c:v>68.1047613404479</c:v>
                </c:pt>
                <c:pt idx="22">
                  <c:v>69.2644038424149</c:v>
                </c:pt>
                <c:pt idx="23">
                  <c:v>71.2478829612678</c:v>
                </c:pt>
                <c:pt idx="24">
                  <c:v>73.9632960910046</c:v>
                </c:pt>
                <c:pt idx="25">
                  <c:v>77.3142693946802</c:v>
                </c:pt>
                <c:pt idx="26">
                  <c:v>81.2006382310692</c:v>
                </c:pt>
                <c:pt idx="27">
                  <c:v>85.5190953081032</c:v>
                </c:pt>
                <c:pt idx="28">
                  <c:v>90.163821710595</c:v>
                </c:pt>
                <c:pt idx="29">
                  <c:v>95.0271119878638</c:v>
                </c:pt>
                <c:pt idx="30">
                  <c:v>100</c:v>
                </c:pt>
              </c:numCache>
            </c:numRef>
          </c:yVal>
          <c:smooth val="1"/>
        </c:ser>
        <c:ser>
          <c:idx val="1"/>
          <c:order val="1"/>
          <c:spPr>
            <a:ln w="19050" cap="rnd">
              <a:solidFill>
                <a:schemeClr val="accent2">
                  <a:alpha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'Явная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0.00333333333333333</c:v>
                </c:pt>
                <c:pt idx="2">
                  <c:v>0.00666666666666667</c:v>
                </c:pt>
                <c:pt idx="3">
                  <c:v>0.01</c:v>
                </c:pt>
                <c:pt idx="4">
                  <c:v>0.0133333333333333</c:v>
                </c:pt>
                <c:pt idx="5">
                  <c:v>0.0166666666666667</c:v>
                </c:pt>
                <c:pt idx="6">
                  <c:v>0.02</c:v>
                </c:pt>
                <c:pt idx="7">
                  <c:v>0.0233333333333333</c:v>
                </c:pt>
                <c:pt idx="8">
                  <c:v>0.0266666666666667</c:v>
                </c:pt>
                <c:pt idx="9">
                  <c:v>0.03</c:v>
                </c:pt>
                <c:pt idx="10">
                  <c:v>0.0333333333333333</c:v>
                </c:pt>
                <c:pt idx="11">
                  <c:v>0.0366666666666667</c:v>
                </c:pt>
                <c:pt idx="12">
                  <c:v>0.04</c:v>
                </c:pt>
                <c:pt idx="13">
                  <c:v>0.0433333333333333</c:v>
                </c:pt>
                <c:pt idx="14">
                  <c:v>0.0466666666666667</c:v>
                </c:pt>
                <c:pt idx="15">
                  <c:v>0.05</c:v>
                </c:pt>
                <c:pt idx="16">
                  <c:v>0.0533333333333333</c:v>
                </c:pt>
                <c:pt idx="17">
                  <c:v>0.0566666666666667</c:v>
                </c:pt>
                <c:pt idx="18">
                  <c:v>0.06</c:v>
                </c:pt>
                <c:pt idx="19">
                  <c:v>0.0633333333333333</c:v>
                </c:pt>
                <c:pt idx="20">
                  <c:v>0.0666666666666667</c:v>
                </c:pt>
                <c:pt idx="21">
                  <c:v>0.07</c:v>
                </c:pt>
                <c:pt idx="22">
                  <c:v>0.0733333333333333</c:v>
                </c:pt>
                <c:pt idx="23">
                  <c:v>0.0766666666666666</c:v>
                </c:pt>
                <c:pt idx="24">
                  <c:v>0.08</c:v>
                </c:pt>
                <c:pt idx="25">
                  <c:v>0.0833333333333333</c:v>
                </c:pt>
                <c:pt idx="26">
                  <c:v>0.0866666666666666</c:v>
                </c:pt>
                <c:pt idx="27">
                  <c:v>0.09</c:v>
                </c:pt>
                <c:pt idx="28">
                  <c:v>0.0933333333333333</c:v>
                </c:pt>
                <c:pt idx="29">
                  <c:v>0.0966666666666666</c:v>
                </c:pt>
                <c:pt idx="30">
                  <c:v>0.0999999999999999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611024"/>
        <c:axId val="452609456"/>
      </c:scatterChart>
      <c:valAx>
        <c:axId val="45261102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solidFill>
              <a:schemeClr val="tx1">
                <a:lumMod val="25000"/>
                <a:lumOff val="75000"/>
              </a:schemeClr>
            </a:solidFill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ru-RU"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52609456"/>
        <c:crosses val="autoZero"/>
        <c:crossBetween val="midCat"/>
      </c:valAx>
      <c:valAx>
        <c:axId val="45260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solidFill>
              <a:schemeClr val="tx1">
                <a:lumMod val="25000"/>
                <a:lumOff val="75000"/>
              </a:schemeClr>
            </a:solidFill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ru-RU"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52611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ru-RU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>
            <a:alpha val="6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38100">
        <a:solidFill>
          <a:schemeClr val="phClr">
            <a:alpha val="60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25000"/>
            <a:lumOff val="75000"/>
          </a:schemeClr>
        </a:solidFill>
      </a:ln>
    </cs:spPr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5</xdr:col>
      <xdr:colOff>285749</xdr:colOff>
      <xdr:row>22</xdr:row>
      <xdr:rowOff>135081</xdr:rowOff>
    </xdr:from>
    <xdr:to>
      <xdr:col>12</xdr:col>
      <xdr:colOff>138545</xdr:colOff>
      <xdr:row>48</xdr:row>
      <xdr:rowOff>86590</xdr:rowOff>
    </xdr:to>
    <xdr:graphicFrame>
      <xdr:nvGraphicFramePr>
        <xdr:cNvPr id="2" name="Диаграмма 1"/>
        <xdr:cNvGraphicFramePr/>
      </xdr:nvGraphicFramePr>
      <xdr:xfrm>
        <a:off x="3371215" y="4157980"/>
        <a:ext cx="4417695" cy="47066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335671</xdr:colOff>
      <xdr:row>22</xdr:row>
      <xdr:rowOff>184325</xdr:rowOff>
    </xdr:from>
    <xdr:ext cx="567133" cy="281808"/>
    <mc:AlternateContent xmlns:mc="http://schemas.openxmlformats.org/markup-compatibility/2006">
      <mc:Choice xmlns:a14="http://schemas.microsoft.com/office/drawing/2010/main" Requires="a14">
        <xdr:sp>
          <xdr:nvSpPr>
            <xdr:cNvPr id="3" name="TextBox 2"/>
            <xdr:cNvSpPr txBox="1"/>
          </xdr:nvSpPr>
          <xdr:spPr>
            <a:xfrm>
              <a:off x="3421380" y="4206240"/>
              <a:ext cx="567055" cy="281305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/>
            </a:p>
          </xdr:txBody>
        </xdr:sp>
      </mc:Choice>
      <mc:Fallback>
        <xdr:sp>
          <xdr:nvSpPr>
            <xdr:cNvPr id="3" name="TextBox 2"/>
            <xdr:cNvSpPr txBox="1"/>
          </xdr:nvSpPr>
          <xdr:spPr>
            <a:xfrm>
              <a:off x="3421380" y="4206240"/>
              <a:ext cx="567055" cy="281305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>
                  <a:latin typeface="Cambria Math" panose="02040503050406030204" pitchFamily="18" charset="0"/>
                </a:rPr>
                <a:t>𝑇</a:t>
              </a:r>
              <a:r>
                <a:rPr lang="en-US" sz="1800" b="0">
                  <a:latin typeface="Cambria Math" panose="02040503050406030204" pitchFamily="18" charset="0"/>
                </a:rPr>
                <a:t>,[</a:t>
              </a:r>
              <a:r>
                <a:rPr lang="en-US" sz="1800" b="0">
                  <a:latin typeface="Cambria Math" panose="02040503050406030204" pitchFamily="18" charset="0"/>
                </a:rPr>
                <a:t>𝐶</a:t>
              </a:r>
              <a:r>
                <a:rPr lang="en-US" sz="1800" b="0">
                  <a:latin typeface="Cambria Math" panose="02040503050406030204" pitchFamily="18" charset="0"/>
                </a:rPr>
                <a:t>]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11</xdr:col>
      <xdr:colOff>129482</xdr:colOff>
      <xdr:row>46</xdr:row>
      <xdr:rowOff>157430</xdr:rowOff>
    </xdr:from>
    <xdr:ext cx="567133" cy="281808"/>
    <mc:AlternateContent xmlns:mc="http://schemas.openxmlformats.org/markup-compatibility/2006">
      <mc:Choice xmlns:a14="http://schemas.microsoft.com/office/drawing/2010/main" Requires="a14">
        <xdr:sp>
          <xdr:nvSpPr>
            <xdr:cNvPr id="4" name="TextBox 3"/>
            <xdr:cNvSpPr txBox="1"/>
          </xdr:nvSpPr>
          <xdr:spPr>
            <a:xfrm>
              <a:off x="7162165" y="8569325"/>
              <a:ext cx="567690" cy="28194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800"/>
            </a:p>
          </xdr:txBody>
        </xdr:sp>
      </mc:Choice>
      <mc:Fallback>
        <xdr:sp>
          <xdr:nvSpPr>
            <xdr:cNvPr id="4" name="TextBox 3"/>
            <xdr:cNvSpPr txBox="1"/>
          </xdr:nvSpPr>
          <xdr:spPr>
            <a:xfrm>
              <a:off x="7162165" y="8569325"/>
              <a:ext cx="567690" cy="28194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>
                  <a:latin typeface="Cambria Math" panose="02040503050406030204" pitchFamily="18" charset="0"/>
                </a:rPr>
                <a:t>,[</a:t>
              </a:r>
              <a:r>
                <a:rPr lang="en-US" sz="1800" b="0">
                  <a:latin typeface="Cambria Math" panose="02040503050406030204" pitchFamily="18" charset="0"/>
                </a:rPr>
                <a:t>𝑚</a:t>
              </a:r>
              <a:r>
                <a:rPr lang="en-US" sz="1800" b="0">
                  <a:latin typeface="Cambria Math" panose="02040503050406030204" pitchFamily="18" charset="0"/>
                </a:rPr>
                <a:t>]</a:t>
              </a:r>
              <a:endParaRPr lang="ru-RU" sz="18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544830</xdr:colOff>
      <xdr:row>16</xdr:row>
      <xdr:rowOff>24765</xdr:rowOff>
    </xdr:from>
    <xdr:to>
      <xdr:col>9</xdr:col>
      <xdr:colOff>313806</xdr:colOff>
      <xdr:row>41</xdr:row>
      <xdr:rowOff>159154</xdr:rowOff>
    </xdr:to>
    <xdr:graphicFrame>
      <xdr:nvGraphicFramePr>
        <xdr:cNvPr id="2" name="Диаграмма 1"/>
        <xdr:cNvGraphicFramePr/>
      </xdr:nvGraphicFramePr>
      <xdr:xfrm>
        <a:off x="1162050" y="2950845"/>
        <a:ext cx="6002020" cy="470598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</xdr:col>
      <xdr:colOff>225425</xdr:colOff>
      <xdr:row>15</xdr:row>
      <xdr:rowOff>180975</xdr:rowOff>
    </xdr:from>
    <xdr:ext cx="567133" cy="281808"/>
    <mc:AlternateContent xmlns:mc="http://schemas.openxmlformats.org/markup-compatibility/2006">
      <mc:Choice xmlns:a14="http://schemas.microsoft.com/office/drawing/2010/main" Requires="a14">
        <xdr:sp>
          <xdr:nvSpPr>
            <xdr:cNvPr id="3" name="TextBox 2"/>
            <xdr:cNvSpPr txBox="1"/>
          </xdr:nvSpPr>
          <xdr:spPr>
            <a:xfrm>
              <a:off x="1726565" y="2924175"/>
              <a:ext cx="567055" cy="281305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/>
            </a:p>
          </xdr:txBody>
        </xdr:sp>
      </mc:Choice>
      <mc:Fallback>
        <xdr:sp>
          <xdr:nvSpPr>
            <xdr:cNvPr id="3" name="TextBox 2"/>
            <xdr:cNvSpPr txBox="1"/>
          </xdr:nvSpPr>
          <xdr:spPr>
            <a:xfrm>
              <a:off x="1726565" y="2924175"/>
              <a:ext cx="567055" cy="281305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>
                  <a:latin typeface="Cambria Math" panose="02040503050406030204" pitchFamily="18" charset="0"/>
                </a:rPr>
                <a:t>𝑇</a:t>
              </a:r>
              <a:r>
                <a:rPr lang="en-US" sz="1800" b="0">
                  <a:latin typeface="Cambria Math" panose="02040503050406030204" pitchFamily="18" charset="0"/>
                </a:rPr>
                <a:t>,[</a:t>
              </a:r>
              <a:r>
                <a:rPr lang="en-US" sz="1800" b="0">
                  <a:latin typeface="Cambria Math" panose="02040503050406030204" pitchFamily="18" charset="0"/>
                </a:rPr>
                <a:t>𝐶</a:t>
              </a:r>
              <a:r>
                <a:rPr lang="en-US" sz="1800" b="0">
                  <a:latin typeface="Cambria Math" panose="02040503050406030204" pitchFamily="18" charset="0"/>
                </a:rPr>
                <a:t>]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8</xdr:col>
      <xdr:colOff>443230</xdr:colOff>
      <xdr:row>42</xdr:row>
      <xdr:rowOff>6985</xdr:rowOff>
    </xdr:from>
    <xdr:ext cx="567133" cy="281808"/>
    <mc:AlternateContent xmlns:mc="http://schemas.openxmlformats.org/markup-compatibility/2006">
      <mc:Choice xmlns:a14="http://schemas.microsoft.com/office/drawing/2010/main" Requires="a14">
        <xdr:sp>
          <xdr:nvSpPr>
            <xdr:cNvPr id="4" name="TextBox 3"/>
            <xdr:cNvSpPr txBox="1"/>
          </xdr:nvSpPr>
          <xdr:spPr>
            <a:xfrm>
              <a:off x="6409690" y="7687945"/>
              <a:ext cx="567055" cy="281305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800"/>
            </a:p>
          </xdr:txBody>
        </xdr:sp>
      </mc:Choice>
      <mc:Fallback>
        <xdr:sp>
          <xdr:nvSpPr>
            <xdr:cNvPr id="4" name="TextBox 3"/>
            <xdr:cNvSpPr txBox="1"/>
          </xdr:nvSpPr>
          <xdr:spPr>
            <a:xfrm>
              <a:off x="6409690" y="7687945"/>
              <a:ext cx="567055" cy="281305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>
                  <a:latin typeface="Cambria Math" panose="02040503050406030204" pitchFamily="18" charset="0"/>
                </a:rPr>
                <a:t>,[</a:t>
              </a:r>
              <a:r>
                <a:rPr lang="en-US" sz="1800" b="0">
                  <a:latin typeface="Cambria Math" panose="02040503050406030204" pitchFamily="18" charset="0"/>
                </a:rPr>
                <a:t>𝑚</a:t>
              </a:r>
              <a:r>
                <a:rPr lang="en-US" sz="1800" b="0">
                  <a:latin typeface="Cambria Math" panose="02040503050406030204" pitchFamily="18" charset="0"/>
                </a:rPr>
                <a:t>]</a:t>
              </a:r>
              <a:endParaRPr lang="ru-RU" sz="1800"/>
            </a:p>
          </xdr:txBody>
        </xdr:sp>
      </mc:Fallback>
    </mc:AlternateContent>
    <xdr:clientData/>
  </xdr:oneCellAnchor>
  <xdr:twoCellAnchor>
    <xdr:from>
      <xdr:col>10</xdr:col>
      <xdr:colOff>89535</xdr:colOff>
      <xdr:row>16</xdr:row>
      <xdr:rowOff>40005</xdr:rowOff>
    </xdr:from>
    <xdr:to>
      <xdr:col>17</xdr:col>
      <xdr:colOff>404974</xdr:colOff>
      <xdr:row>41</xdr:row>
      <xdr:rowOff>182014</xdr:rowOff>
    </xdr:to>
    <xdr:graphicFrame>
      <xdr:nvGraphicFramePr>
        <xdr:cNvPr id="5" name="Диаграмма 4"/>
        <xdr:cNvGraphicFramePr/>
      </xdr:nvGraphicFramePr>
      <xdr:xfrm>
        <a:off x="7823835" y="2966085"/>
        <a:ext cx="6502400" cy="47136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1"/>
  <dimension ref="B3:AJ16"/>
  <sheetViews>
    <sheetView zoomScale="80" zoomScaleNormal="80" topLeftCell="A6" workbookViewId="0">
      <selection activeCell="O24" sqref="O24"/>
    </sheetView>
  </sheetViews>
  <sheetFormatPr defaultColWidth="9" defaultRowHeight="14.4"/>
  <cols>
    <col min="7" max="7" width="12.5555555555556" customWidth="1"/>
  </cols>
  <sheetData>
    <row r="3" spans="2:3">
      <c r="B3" s="1" t="s">
        <v>0</v>
      </c>
      <c r="C3" s="1">
        <v>0.1</v>
      </c>
    </row>
    <row r="4" spans="2:3">
      <c r="B4" s="1" t="s">
        <v>1</v>
      </c>
      <c r="C4" s="1">
        <f>C3/30</f>
        <v>0.00333333333333333</v>
      </c>
    </row>
    <row r="5" spans="2:8">
      <c r="B5" s="1" t="s">
        <v>2</v>
      </c>
      <c r="C5" s="1">
        <f>2</f>
        <v>2</v>
      </c>
      <c r="H5">
        <f>C5/C4</f>
        <v>600</v>
      </c>
    </row>
    <row r="6" spans="2:4">
      <c r="B6" s="1" t="s">
        <v>3</v>
      </c>
      <c r="C6" s="1">
        <v>60</v>
      </c>
      <c r="D6">
        <v>62</v>
      </c>
    </row>
    <row r="8" spans="2:3">
      <c r="B8" s="1" t="s">
        <v>4</v>
      </c>
      <c r="C8" s="1">
        <v>460</v>
      </c>
    </row>
    <row r="9" spans="2:3">
      <c r="B9" s="1" t="s">
        <v>5</v>
      </c>
      <c r="C9" s="1">
        <v>7800</v>
      </c>
    </row>
    <row r="10" spans="2:3">
      <c r="B10" s="1" t="s">
        <v>6</v>
      </c>
      <c r="C10" s="1">
        <v>46</v>
      </c>
    </row>
    <row r="11" spans="6:36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>
      <c r="B12" s="1" t="s">
        <v>7</v>
      </c>
      <c r="C12" s="1">
        <v>300</v>
      </c>
      <c r="E12" t="s">
        <v>0</v>
      </c>
      <c r="F12" s="2">
        <v>0</v>
      </c>
      <c r="G12" s="3">
        <f>F12+$C$4</f>
        <v>0.00333333333333333</v>
      </c>
      <c r="H12" s="3">
        <f t="shared" ref="H12:AJ12" si="0">G12+$C$4</f>
        <v>0.00666666666666667</v>
      </c>
      <c r="I12" s="3">
        <f t="shared" si="0"/>
        <v>0.01</v>
      </c>
      <c r="J12" s="3">
        <f t="shared" si="0"/>
        <v>0.0133333333333333</v>
      </c>
      <c r="K12" s="3">
        <f t="shared" si="0"/>
        <v>0.0166666666666667</v>
      </c>
      <c r="L12" s="3">
        <f t="shared" si="0"/>
        <v>0.02</v>
      </c>
      <c r="M12" s="3">
        <f t="shared" si="0"/>
        <v>0.0233333333333333</v>
      </c>
      <c r="N12" s="3">
        <f t="shared" si="0"/>
        <v>0.0266666666666667</v>
      </c>
      <c r="O12" s="3">
        <f t="shared" si="0"/>
        <v>0.03</v>
      </c>
      <c r="P12" s="3">
        <f t="shared" si="0"/>
        <v>0.0333333333333333</v>
      </c>
      <c r="Q12" s="3">
        <f t="shared" si="0"/>
        <v>0.0366666666666667</v>
      </c>
      <c r="R12" s="3">
        <f t="shared" si="0"/>
        <v>0.04</v>
      </c>
      <c r="S12" s="3">
        <f t="shared" si="0"/>
        <v>0.0433333333333333</v>
      </c>
      <c r="T12" s="3">
        <f t="shared" si="0"/>
        <v>0.0466666666666667</v>
      </c>
      <c r="U12" s="3">
        <f t="shared" si="0"/>
        <v>0.05</v>
      </c>
      <c r="V12" s="3">
        <f t="shared" si="0"/>
        <v>0.0533333333333333</v>
      </c>
      <c r="W12" s="3">
        <f t="shared" si="0"/>
        <v>0.0566666666666667</v>
      </c>
      <c r="X12" s="3">
        <f t="shared" si="0"/>
        <v>0.06</v>
      </c>
      <c r="Y12" s="3">
        <f t="shared" si="0"/>
        <v>0.0633333333333333</v>
      </c>
      <c r="Z12" s="3">
        <f t="shared" si="0"/>
        <v>0.0666666666666667</v>
      </c>
      <c r="AA12" s="3">
        <f t="shared" si="0"/>
        <v>0.07</v>
      </c>
      <c r="AB12" s="3">
        <f t="shared" si="0"/>
        <v>0.0733333333333333</v>
      </c>
      <c r="AC12" s="3">
        <f t="shared" si="0"/>
        <v>0.0766666666666666</v>
      </c>
      <c r="AD12" s="3">
        <f t="shared" si="0"/>
        <v>0.08</v>
      </c>
      <c r="AE12" s="3">
        <f t="shared" si="0"/>
        <v>0.0833333333333333</v>
      </c>
      <c r="AF12" s="3">
        <f t="shared" si="0"/>
        <v>0.0866666666666666</v>
      </c>
      <c r="AG12" s="3">
        <f t="shared" si="0"/>
        <v>0.09</v>
      </c>
      <c r="AH12" s="3">
        <f t="shared" si="0"/>
        <v>0.0933333333333333</v>
      </c>
      <c r="AI12" s="3">
        <f t="shared" si="0"/>
        <v>0.0966666666666666</v>
      </c>
      <c r="AJ12" s="3">
        <f t="shared" si="0"/>
        <v>0.0999999999999999</v>
      </c>
    </row>
    <row r="13" spans="2:36">
      <c r="B13" s="1" t="s">
        <v>8</v>
      </c>
      <c r="C13" s="1">
        <v>100</v>
      </c>
      <c r="E13" t="s">
        <v>9</v>
      </c>
      <c r="F13">
        <f>C12</f>
        <v>300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f>C13</f>
        <v>100</v>
      </c>
    </row>
    <row r="16" spans="5:35">
      <c r="E16" t="s">
        <v>10</v>
      </c>
      <c r="G16">
        <f>G13+(($C$10*$C$5)/($C$9*$C$8))*((H13-2*G13+F13)/($C$4^2))</f>
        <v>692.307692307692</v>
      </c>
      <c r="H16">
        <f>H13+(($C$10*$C$5)/($C$9*$C$8))*((I13-2*H13+G13)/($C$4^2))</f>
        <v>0</v>
      </c>
      <c r="I16">
        <f t="shared" ref="I16:AI16" si="1">I13+(($C$10*$C$5)/($C$9*$C$8))*((J13-2*I13+H13)/($C$4^2))</f>
        <v>0</v>
      </c>
      <c r="J16">
        <f t="shared" si="1"/>
        <v>0</v>
      </c>
      <c r="K16">
        <f t="shared" si="1"/>
        <v>0</v>
      </c>
      <c r="L16">
        <f t="shared" si="1"/>
        <v>0</v>
      </c>
      <c r="M16">
        <f t="shared" si="1"/>
        <v>0</v>
      </c>
      <c r="N16">
        <f t="shared" si="1"/>
        <v>0</v>
      </c>
      <c r="O16">
        <f t="shared" si="1"/>
        <v>0</v>
      </c>
      <c r="P16">
        <f t="shared" si="1"/>
        <v>0</v>
      </c>
      <c r="Q16">
        <f t="shared" si="1"/>
        <v>0</v>
      </c>
      <c r="R16">
        <f t="shared" si="1"/>
        <v>0</v>
      </c>
      <c r="S16">
        <f t="shared" si="1"/>
        <v>0</v>
      </c>
      <c r="T16">
        <f t="shared" si="1"/>
        <v>0</v>
      </c>
      <c r="U16">
        <f t="shared" si="1"/>
        <v>0</v>
      </c>
      <c r="V16">
        <f t="shared" si="1"/>
        <v>0</v>
      </c>
      <c r="W16">
        <f t="shared" si="1"/>
        <v>0</v>
      </c>
      <c r="X16">
        <f t="shared" si="1"/>
        <v>0</v>
      </c>
      <c r="Y16">
        <f t="shared" si="1"/>
        <v>0</v>
      </c>
      <c r="Z16">
        <f t="shared" si="1"/>
        <v>0</v>
      </c>
      <c r="AA16">
        <f t="shared" si="1"/>
        <v>0</v>
      </c>
      <c r="AB16">
        <f t="shared" si="1"/>
        <v>0</v>
      </c>
      <c r="AC16">
        <f t="shared" si="1"/>
        <v>0</v>
      </c>
      <c r="AD16">
        <f t="shared" si="1"/>
        <v>0</v>
      </c>
      <c r="AE16">
        <f t="shared" si="1"/>
        <v>0</v>
      </c>
      <c r="AF16">
        <f t="shared" si="1"/>
        <v>0</v>
      </c>
      <c r="AG16">
        <f t="shared" si="1"/>
        <v>0</v>
      </c>
      <c r="AH16">
        <f t="shared" si="1"/>
        <v>0</v>
      </c>
      <c r="AI16">
        <f t="shared" si="1"/>
        <v>230.769230769231</v>
      </c>
    </row>
  </sheetData>
  <conditionalFormatting sqref="F13:AJ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J15"/>
  <sheetViews>
    <sheetView tabSelected="1" zoomScale="70" zoomScaleNormal="70" topLeftCell="A9" workbookViewId="0">
      <selection activeCell="S29" sqref="S29"/>
    </sheetView>
  </sheetViews>
  <sheetFormatPr defaultColWidth="9" defaultRowHeight="14.4"/>
  <cols>
    <col min="2" max="2" width="12.8888888888889"/>
    <col min="6" max="6" width="12.6666666666667" customWidth="1"/>
    <col min="7" max="7" width="12.5555555555556" customWidth="1"/>
    <col min="8" max="35" width="12.8888888888889"/>
  </cols>
  <sheetData>
    <row r="1" spans="1:2">
      <c r="A1" s="1" t="s">
        <v>0</v>
      </c>
      <c r="B1" s="1">
        <v>0.1</v>
      </c>
    </row>
    <row r="2" spans="1:2">
      <c r="A2" s="1" t="s">
        <v>1</v>
      </c>
      <c r="B2" s="1">
        <f>B1/30</f>
        <v>0.00333333333333333</v>
      </c>
    </row>
    <row r="3" spans="1:36">
      <c r="A3" s="1" t="s">
        <v>2</v>
      </c>
      <c r="B3" s="1">
        <f>'Явная схема'!C5</f>
        <v>2</v>
      </c>
      <c r="F3" s="1">
        <v>1</v>
      </c>
      <c r="G3" s="1">
        <v>2</v>
      </c>
      <c r="H3" s="1">
        <v>3</v>
      </c>
      <c r="I3" s="1">
        <v>4</v>
      </c>
      <c r="J3" s="1">
        <v>5</v>
      </c>
      <c r="K3" s="1">
        <v>6</v>
      </c>
      <c r="L3" s="1">
        <v>7</v>
      </c>
      <c r="M3" s="1">
        <v>8</v>
      </c>
      <c r="N3" s="1">
        <v>9</v>
      </c>
      <c r="O3" s="1">
        <v>10</v>
      </c>
      <c r="P3" s="1">
        <v>11</v>
      </c>
      <c r="Q3" s="1">
        <v>12</v>
      </c>
      <c r="R3" s="1">
        <v>13</v>
      </c>
      <c r="S3" s="1">
        <v>14</v>
      </c>
      <c r="T3" s="1">
        <v>15</v>
      </c>
      <c r="U3" s="1">
        <v>16</v>
      </c>
      <c r="V3" s="1">
        <v>17</v>
      </c>
      <c r="W3" s="1">
        <v>18</v>
      </c>
      <c r="X3" s="1">
        <v>19</v>
      </c>
      <c r="Y3" s="1">
        <v>20</v>
      </c>
      <c r="Z3" s="1">
        <v>21</v>
      </c>
      <c r="AA3" s="1">
        <v>22</v>
      </c>
      <c r="AB3" s="1">
        <v>23</v>
      </c>
      <c r="AC3" s="1">
        <v>24</v>
      </c>
      <c r="AD3" s="1">
        <v>25</v>
      </c>
      <c r="AE3" s="1">
        <v>26</v>
      </c>
      <c r="AF3" s="1">
        <v>27</v>
      </c>
      <c r="AG3" s="1">
        <v>28</v>
      </c>
      <c r="AH3" s="1">
        <v>29</v>
      </c>
      <c r="AI3" s="1">
        <v>30</v>
      </c>
      <c r="AJ3" s="1">
        <v>31</v>
      </c>
    </row>
    <row r="4" spans="1:36">
      <c r="A4" s="1" t="s">
        <v>3</v>
      </c>
      <c r="B4" s="1">
        <v>60</v>
      </c>
      <c r="C4">
        <v>62</v>
      </c>
      <c r="E4" t="s">
        <v>0</v>
      </c>
      <c r="F4" s="2">
        <v>0</v>
      </c>
      <c r="G4" s="3">
        <f>F4+$B$2</f>
        <v>0.00333333333333333</v>
      </c>
      <c r="H4" s="3">
        <f t="shared" ref="H4:AJ4" si="0">G4+$B$2</f>
        <v>0.00666666666666667</v>
      </c>
      <c r="I4" s="3">
        <f t="shared" si="0"/>
        <v>0.01</v>
      </c>
      <c r="J4" s="3">
        <f t="shared" si="0"/>
        <v>0.0133333333333333</v>
      </c>
      <c r="K4" s="3">
        <f t="shared" si="0"/>
        <v>0.0166666666666667</v>
      </c>
      <c r="L4" s="3">
        <f t="shared" si="0"/>
        <v>0.02</v>
      </c>
      <c r="M4" s="3">
        <f t="shared" si="0"/>
        <v>0.0233333333333333</v>
      </c>
      <c r="N4" s="3">
        <f t="shared" si="0"/>
        <v>0.0266666666666667</v>
      </c>
      <c r="O4" s="3">
        <f t="shared" si="0"/>
        <v>0.03</v>
      </c>
      <c r="P4" s="3">
        <f t="shared" si="0"/>
        <v>0.0333333333333333</v>
      </c>
      <c r="Q4" s="3">
        <f t="shared" si="0"/>
        <v>0.0366666666666667</v>
      </c>
      <c r="R4" s="3">
        <f t="shared" si="0"/>
        <v>0.04</v>
      </c>
      <c r="S4" s="3">
        <f t="shared" si="0"/>
        <v>0.0433333333333333</v>
      </c>
      <c r="T4" s="3">
        <f t="shared" si="0"/>
        <v>0.0466666666666667</v>
      </c>
      <c r="U4" s="3">
        <f t="shared" si="0"/>
        <v>0.05</v>
      </c>
      <c r="V4" s="3">
        <f t="shared" si="0"/>
        <v>0.0533333333333333</v>
      </c>
      <c r="W4" s="3">
        <f t="shared" si="0"/>
        <v>0.0566666666666667</v>
      </c>
      <c r="X4" s="3">
        <f t="shared" si="0"/>
        <v>0.06</v>
      </c>
      <c r="Y4" s="3">
        <f t="shared" si="0"/>
        <v>0.0633333333333333</v>
      </c>
      <c r="Z4" s="3">
        <f t="shared" si="0"/>
        <v>0.0666666666666667</v>
      </c>
      <c r="AA4" s="3">
        <f t="shared" si="0"/>
        <v>0.07</v>
      </c>
      <c r="AB4" s="3">
        <f t="shared" si="0"/>
        <v>0.0733333333333333</v>
      </c>
      <c r="AC4" s="3">
        <f t="shared" si="0"/>
        <v>0.0766666666666666</v>
      </c>
      <c r="AD4" s="3">
        <f t="shared" si="0"/>
        <v>0.08</v>
      </c>
      <c r="AE4" s="3">
        <f t="shared" si="0"/>
        <v>0.0833333333333333</v>
      </c>
      <c r="AF4" s="3">
        <f t="shared" si="0"/>
        <v>0.0866666666666666</v>
      </c>
      <c r="AG4" s="3">
        <f t="shared" si="0"/>
        <v>0.09</v>
      </c>
      <c r="AH4" s="3">
        <f t="shared" si="0"/>
        <v>0.0933333333333333</v>
      </c>
      <c r="AI4" s="3">
        <f t="shared" si="0"/>
        <v>0.0966666666666666</v>
      </c>
      <c r="AJ4" s="3">
        <f t="shared" si="0"/>
        <v>0.0999999999999999</v>
      </c>
    </row>
    <row r="5" spans="5:36">
      <c r="E5" t="s">
        <v>9</v>
      </c>
      <c r="F5">
        <f>B10</f>
        <v>300</v>
      </c>
      <c r="G5">
        <v>280.351676410664</v>
      </c>
      <c r="H5">
        <v>260.871706316448</v>
      </c>
      <c r="I5">
        <v>241.725226507401</v>
      </c>
      <c r="J5">
        <v>223.071058822139</v>
      </c>
      <c r="K5">
        <v>205.058841482208</v>
      </c>
      <c r="L5">
        <v>187.826487059285</v>
      </c>
      <c r="M5">
        <v>171.498044471578</v>
      </c>
      <c r="N5">
        <v>156.182018743072</v>
      </c>
      <c r="O5">
        <v>141.9701764481</v>
      </c>
      <c r="P5">
        <v>128.936838766971</v>
      </c>
      <c r="Q5">
        <v>117.138639785032</v>
      </c>
      <c r="R5">
        <v>106.614706728714</v>
      </c>
      <c r="S5">
        <v>97.3872025278737</v>
      </c>
      <c r="T5">
        <v>89.4621602429901</v>
      </c>
      <c r="U5">
        <v>82.8305338135467</v>
      </c>
      <c r="V5">
        <v>77.469390089733</v>
      </c>
      <c r="W5">
        <v>73.3431725792256</v>
      </c>
      <c r="X5">
        <v>70.4049767962744</v>
      </c>
      <c r="Y5">
        <v>68.5977893241338</v>
      </c>
      <c r="Z5">
        <v>67.8556563649402</v>
      </c>
      <c r="AA5">
        <v>68.1047613404479</v>
      </c>
      <c r="AB5">
        <v>69.2644038424149</v>
      </c>
      <c r="AC5">
        <v>71.2478829612678</v>
      </c>
      <c r="AD5">
        <v>73.9632960910046</v>
      </c>
      <c r="AE5">
        <v>77.3142693946802</v>
      </c>
      <c r="AF5">
        <v>81.2006382310692</v>
      </c>
      <c r="AG5">
        <v>85.5190953081032</v>
      </c>
      <c r="AH5">
        <v>90.163821710595</v>
      </c>
      <c r="AI5">
        <v>95.0271119878638</v>
      </c>
      <c r="AJ5">
        <f>B11</f>
        <v>100</v>
      </c>
    </row>
    <row r="6" spans="1:2">
      <c r="A6" s="1" t="s">
        <v>4</v>
      </c>
      <c r="B6" s="1">
        <v>460</v>
      </c>
    </row>
    <row r="7" spans="1:2">
      <c r="A7" s="1" t="s">
        <v>5</v>
      </c>
      <c r="B7" s="1">
        <v>7800</v>
      </c>
    </row>
    <row r="8" spans="1:36">
      <c r="A8" s="1" t="s">
        <v>6</v>
      </c>
      <c r="B8" s="1">
        <v>46</v>
      </c>
      <c r="E8" t="s">
        <v>10</v>
      </c>
      <c r="G8">
        <f t="shared" ref="G8:AI8" si="1">G12*H8+G13</f>
        <v>280.724334160291</v>
      </c>
      <c r="H8">
        <f t="shared" si="1"/>
        <v>261.61015334542</v>
      </c>
      <c r="I8">
        <f t="shared" si="1"/>
        <v>242.815966243103</v>
      </c>
      <c r="J8">
        <f t="shared" si="1"/>
        <v>224.494433026256</v>
      </c>
      <c r="K8">
        <f t="shared" si="1"/>
        <v>206.789695297861</v>
      </c>
      <c r="L8">
        <f t="shared" si="1"/>
        <v>189.834994222915</v>
      </c>
      <c r="M8">
        <f t="shared" si="1"/>
        <v>173.750646252209</v>
      </c>
      <c r="N8">
        <f t="shared" si="1"/>
        <v>158.642425719777</v>
      </c>
      <c r="O8">
        <f t="shared" si="1"/>
        <v>144.600381543916</v>
      </c>
      <c r="P8">
        <f t="shared" si="1"/>
        <v>131.698092909575</v>
      </c>
      <c r="Q8">
        <f t="shared" si="1"/>
        <v>119.99234773703</v>
      </c>
      <c r="R8">
        <f t="shared" si="1"/>
        <v>109.523209343684</v>
      </c>
      <c r="S8">
        <f t="shared" si="1"/>
        <v>100.314422083492</v>
      </c>
      <c r="T8">
        <f t="shared" si="1"/>
        <v>92.3740966307342</v>
      </c>
      <c r="U8">
        <f t="shared" si="1"/>
        <v>85.6956102793323</v>
      </c>
      <c r="V8">
        <f t="shared" si="1"/>
        <v>80.2586570631042</v>
      </c>
      <c r="W8">
        <f t="shared" si="1"/>
        <v>76.0303862020035</v>
      </c>
      <c r="X8">
        <f t="shared" si="1"/>
        <v>72.96657457744</v>
      </c>
      <c r="Y8">
        <f t="shared" si="1"/>
        <v>71.0127886580483</v>
      </c>
      <c r="Z8">
        <f t="shared" si="1"/>
        <v>70.1055024500195</v>
      </c>
      <c r="AA8">
        <f t="shared" si="1"/>
        <v>70.1731495455251</v>
      </c>
      <c r="AB8">
        <f t="shared" si="1"/>
        <v>71.1370981965642</v>
      </c>
      <c r="AC8">
        <f t="shared" si="1"/>
        <v>72.9125477344012</v>
      </c>
      <c r="AD8">
        <f t="shared" si="1"/>
        <v>75.4093520072626</v>
      </c>
      <c r="AE8">
        <f t="shared" si="1"/>
        <v>78.5327805105026</v>
      </c>
      <c r="AF8">
        <f t="shared" si="1"/>
        <v>82.1842304972656</v>
      </c>
      <c r="AG8">
        <f t="shared" si="1"/>
        <v>86.2619037993804</v>
      </c>
      <c r="AH8">
        <f t="shared" si="1"/>
        <v>90.6614607810487</v>
      </c>
      <c r="AI8">
        <f t="shared" si="1"/>
        <v>95.2766613599136</v>
      </c>
      <c r="AJ8">
        <f>B11</f>
        <v>100</v>
      </c>
    </row>
    <row r="10" spans="1:2">
      <c r="A10" s="1" t="s">
        <v>7</v>
      </c>
      <c r="B10" s="1">
        <v>300</v>
      </c>
    </row>
    <row r="11" spans="1:2">
      <c r="A11" s="1" t="s">
        <v>8</v>
      </c>
      <c r="B11" s="1">
        <v>100</v>
      </c>
    </row>
    <row r="12" spans="5:35">
      <c r="E12" s="4" t="s">
        <v>11</v>
      </c>
      <c r="F12">
        <v>0</v>
      </c>
      <c r="G12">
        <f>$B$13/($B$14-$B$15*F12)</f>
        <v>0.410958904109589</v>
      </c>
      <c r="H12">
        <f t="shared" ref="H12:AI12" si="2">$B$13/($B$14-$B$15*G12)</f>
        <v>0.494468277263491</v>
      </c>
      <c r="I12">
        <f t="shared" si="2"/>
        <v>0.515765652111468</v>
      </c>
      <c r="J12">
        <f t="shared" si="2"/>
        <v>0.521493978957136</v>
      </c>
      <c r="K12">
        <f t="shared" si="2"/>
        <v>0.52305649933976</v>
      </c>
      <c r="L12">
        <f t="shared" si="2"/>
        <v>0.523484335989892</v>
      </c>
      <c r="M12">
        <f t="shared" si="2"/>
        <v>0.523601604834193</v>
      </c>
      <c r="N12">
        <f t="shared" si="2"/>
        <v>0.523633757075346</v>
      </c>
      <c r="O12">
        <f t="shared" si="2"/>
        <v>0.523642573121097</v>
      </c>
      <c r="P12">
        <f t="shared" si="2"/>
        <v>0.523644990505616</v>
      </c>
      <c r="Q12">
        <f t="shared" si="2"/>
        <v>0.523645653363144</v>
      </c>
      <c r="R12">
        <f t="shared" si="2"/>
        <v>0.523645835121903</v>
      </c>
      <c r="S12">
        <f t="shared" si="2"/>
        <v>0.523645884961062</v>
      </c>
      <c r="T12">
        <f t="shared" si="2"/>
        <v>0.523645898627209</v>
      </c>
      <c r="U12">
        <f t="shared" si="2"/>
        <v>0.523645902374535</v>
      </c>
      <c r="V12">
        <f t="shared" si="2"/>
        <v>0.523645903402071</v>
      </c>
      <c r="W12">
        <f t="shared" si="2"/>
        <v>0.523645903683827</v>
      </c>
      <c r="X12">
        <f t="shared" si="2"/>
        <v>0.523645903761085</v>
      </c>
      <c r="Y12">
        <f t="shared" si="2"/>
        <v>0.52364590378227</v>
      </c>
      <c r="Z12">
        <f t="shared" si="2"/>
        <v>0.523645903788079</v>
      </c>
      <c r="AA12">
        <f t="shared" si="2"/>
        <v>0.523645903789672</v>
      </c>
      <c r="AB12">
        <f t="shared" si="2"/>
        <v>0.523645903790109</v>
      </c>
      <c r="AC12">
        <f t="shared" si="2"/>
        <v>0.523645903790228</v>
      </c>
      <c r="AD12">
        <f t="shared" si="2"/>
        <v>0.523645903790261</v>
      </c>
      <c r="AE12">
        <f t="shared" si="2"/>
        <v>0.52364590379027</v>
      </c>
      <c r="AF12">
        <f t="shared" si="2"/>
        <v>0.523645903790273</v>
      </c>
      <c r="AG12">
        <f t="shared" si="2"/>
        <v>0.523645903790273</v>
      </c>
      <c r="AH12">
        <f t="shared" si="2"/>
        <v>0.523645903790274</v>
      </c>
      <c r="AI12">
        <f t="shared" si="2"/>
        <v>0.523645903790274</v>
      </c>
    </row>
    <row r="13" spans="1:35">
      <c r="A13" s="5" t="s">
        <v>12</v>
      </c>
      <c r="B13" s="6">
        <f>B8/B2^2</f>
        <v>4140000</v>
      </c>
      <c r="E13" t="s">
        <v>13</v>
      </c>
      <c r="F13">
        <f>B10</f>
        <v>300</v>
      </c>
      <c r="G13" s="7">
        <f>(F13*$B$15-G14)/($B$14-$B$15*F12)</f>
        <v>173.213312237516</v>
      </c>
      <c r="H13" s="7">
        <f t="shared" ref="H13:AI13" si="3">(G13*$B$15-H14)/($B$14-$B$15*G12)</f>
        <v>141.545360825123</v>
      </c>
      <c r="I13" s="7">
        <f t="shared" si="3"/>
        <v>127.029448597921</v>
      </c>
      <c r="J13" s="7">
        <f t="shared" si="3"/>
        <v>116.654852018041</v>
      </c>
      <c r="K13" s="7">
        <f t="shared" si="3"/>
        <v>107.495267767439</v>
      </c>
      <c r="L13" s="7">
        <f t="shared" si="3"/>
        <v>98.8792525417628</v>
      </c>
      <c r="M13" s="7">
        <f t="shared" si="3"/>
        <v>90.685217550545</v>
      </c>
      <c r="N13" s="7">
        <f t="shared" si="3"/>
        <v>82.9247846574073</v>
      </c>
      <c r="O13" s="7">
        <f t="shared" si="3"/>
        <v>75.6376532976046</v>
      </c>
      <c r="P13" s="7">
        <f t="shared" si="3"/>
        <v>68.8647011180717</v>
      </c>
      <c r="Q13" s="7">
        <f t="shared" si="3"/>
        <v>62.6409952218284</v>
      </c>
      <c r="R13" s="7">
        <f t="shared" si="3"/>
        <v>56.9939800170029</v>
      </c>
      <c r="S13" s="7">
        <f t="shared" si="3"/>
        <v>51.9431065058125</v>
      </c>
      <c r="T13" s="7">
        <f t="shared" si="3"/>
        <v>47.4999417776062</v>
      </c>
      <c r="U13" s="7">
        <f t="shared" si="3"/>
        <v>43.6684933781548</v>
      </c>
      <c r="V13" s="7">
        <f t="shared" si="3"/>
        <v>40.4456567943477</v>
      </c>
      <c r="W13" s="7">
        <f t="shared" si="3"/>
        <v>37.8217383186866</v>
      </c>
      <c r="X13" s="7">
        <f t="shared" si="3"/>
        <v>35.7810186820014</v>
      </c>
      <c r="Y13" s="7">
        <f t="shared" si="3"/>
        <v>34.3023294674977</v>
      </c>
      <c r="Z13" s="7">
        <f t="shared" si="3"/>
        <v>33.359620134597</v>
      </c>
      <c r="AA13" s="7">
        <f t="shared" si="3"/>
        <v>32.9224994674106</v>
      </c>
      <c r="AB13" s="7">
        <f t="shared" si="3"/>
        <v>32.9567412405442</v>
      </c>
      <c r="AC13" s="7">
        <f t="shared" si="3"/>
        <v>33.4247494483226</v>
      </c>
      <c r="AD13" s="7">
        <f t="shared" si="3"/>
        <v>34.2859831796783</v>
      </c>
      <c r="AE13" s="7">
        <f t="shared" si="3"/>
        <v>35.4973448544541</v>
      </c>
      <c r="AF13" s="7">
        <f t="shared" si="3"/>
        <v>37.0135379195695</v>
      </c>
      <c r="AG13" s="7">
        <f t="shared" si="3"/>
        <v>38.7874012297418</v>
      </c>
      <c r="AH13" s="7">
        <f t="shared" si="3"/>
        <v>40.7702273331169</v>
      </c>
      <c r="AI13" s="7">
        <f t="shared" si="3"/>
        <v>42.9120709808862</v>
      </c>
    </row>
    <row r="14" spans="1:35">
      <c r="A14" s="5" t="s">
        <v>14</v>
      </c>
      <c r="B14" s="6">
        <f>(2*B8)/(B2^2)+(B7*B6)/B3</f>
        <v>10074000</v>
      </c>
      <c r="E14" t="s">
        <v>15</v>
      </c>
      <c r="F14" s="6">
        <f>-(($B$7*$B$6)/$B$3)*F5</f>
        <v>-538200000</v>
      </c>
      <c r="G14" s="6">
        <f t="shared" ref="G14:AI14" si="4">-(($B$7*$B$6)/$B$3)*G5</f>
        <v>-502950907.480732</v>
      </c>
      <c r="H14" s="6">
        <f t="shared" si="4"/>
        <v>-468003841.131708</v>
      </c>
      <c r="I14" s="6">
        <f t="shared" si="4"/>
        <v>-433655056.354278</v>
      </c>
      <c r="J14" s="6">
        <f t="shared" si="4"/>
        <v>-400189479.526918</v>
      </c>
      <c r="K14" s="6">
        <f t="shared" si="4"/>
        <v>-367875561.61908</v>
      </c>
      <c r="L14" s="6">
        <f t="shared" si="4"/>
        <v>-336960717.784358</v>
      </c>
      <c r="M14" s="6">
        <f t="shared" si="4"/>
        <v>-307667491.782012</v>
      </c>
      <c r="N14" s="6">
        <f t="shared" si="4"/>
        <v>-280190541.625071</v>
      </c>
      <c r="O14" s="6">
        <f t="shared" si="4"/>
        <v>-254694496.547892</v>
      </c>
      <c r="P14" s="6">
        <f t="shared" si="4"/>
        <v>-231312688.747946</v>
      </c>
      <c r="Q14" s="6">
        <f t="shared" si="4"/>
        <v>-210146719.774348</v>
      </c>
      <c r="R14" s="6">
        <f t="shared" si="4"/>
        <v>-191266783.871313</v>
      </c>
      <c r="S14" s="6">
        <f t="shared" si="4"/>
        <v>-174712641.335005</v>
      </c>
      <c r="T14" s="6">
        <f t="shared" si="4"/>
        <v>-160495115.475924</v>
      </c>
      <c r="U14" s="6">
        <f t="shared" si="4"/>
        <v>-148597977.661503</v>
      </c>
      <c r="V14" s="6">
        <f t="shared" si="4"/>
        <v>-138980085.820981</v>
      </c>
      <c r="W14" s="6">
        <f t="shared" si="4"/>
        <v>-131577651.607131</v>
      </c>
      <c r="X14" s="6">
        <f t="shared" si="4"/>
        <v>-126306528.372516</v>
      </c>
      <c r="Y14" s="6">
        <f t="shared" si="4"/>
        <v>-123064434.047496</v>
      </c>
      <c r="Z14" s="6">
        <f t="shared" si="4"/>
        <v>-121733047.518703</v>
      </c>
      <c r="AA14" s="6">
        <f t="shared" si="4"/>
        <v>-122179941.844764</v>
      </c>
      <c r="AB14" s="6">
        <f t="shared" si="4"/>
        <v>-124260340.493292</v>
      </c>
      <c r="AC14" s="6">
        <f t="shared" si="4"/>
        <v>-127818702.032514</v>
      </c>
      <c r="AD14" s="6">
        <f t="shared" si="4"/>
        <v>-132690153.187262</v>
      </c>
      <c r="AE14" s="6">
        <f t="shared" si="4"/>
        <v>-138701799.294056</v>
      </c>
      <c r="AF14" s="6">
        <f t="shared" si="4"/>
        <v>-145673944.986538</v>
      </c>
      <c r="AG14" s="6">
        <f t="shared" si="4"/>
        <v>-153421256.982737</v>
      </c>
      <c r="AH14" s="6">
        <f t="shared" si="4"/>
        <v>-161753896.148807</v>
      </c>
      <c r="AI14" s="6">
        <f t="shared" si="4"/>
        <v>-170478638.906228</v>
      </c>
    </row>
    <row r="15" spans="1:2">
      <c r="A15" s="5" t="s">
        <v>16</v>
      </c>
      <c r="B15" s="6">
        <f>B13</f>
        <v>4140000</v>
      </c>
    </row>
  </sheetData>
  <conditionalFormatting sqref="F5:AJ5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Yaroslava</cp:lastModifiedBy>
  <dcterms:created xsi:type="dcterms:W3CDTF">2015-06-05T18:19:00Z</dcterms:created>
  <dcterms:modified xsi:type="dcterms:W3CDTF">2021-11-08T16:33:08Z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793FC91E4C374B86AAEF5734DF89CDBB</vt:lpwstr>
  </property>
  <property fmtid="{D5CDD505-2E9C-101B-9397-08002B2CF9AE}" pid="3" name="KSOProductBuildVer">
    <vt:lpwstr>1049-11.2.0.10351</vt:lpwstr>
  </property>
</Properties>
</file>